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 Dashboard" sheetId="1" state="visible" r:id="rId3"/>
    <sheet name="🗄 Schema" sheetId="2" state="visible" r:id="rId4"/>
    <sheet name="🧩 Practice Queries" sheetId="3" state="visible" r:id="rId5"/>
    <sheet name="🤖 Ask AI" sheetId="4" state="visible" r:id="rId6"/>
    <sheet name="🔑 Solutions" sheetId="5" state="hidden" r:id="rId7"/>
    <sheet name="⚙ data" sheetId="6" state="hidden" r:id="rId8"/>
  </sheets>
  <definedNames>
    <definedName function="false" hidden="true" localSheetId="2" name="_xlnm._FilterDatabase" vbProcedure="false">'🧩 Practice Queries'!$A$2:$H$56</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E3" authorId="0">
      <text>
        <r>
          <rPr>
            <sz val="10"/>
            <rFont val="Arial"/>
            <family val="2"/>
          </rPr>
          <t xml:space="preserve">ORDER BY price DESC; select only the 3 columns you need.
Expected: 15 rows sorted by price.</t>
        </r>
      </text>
    </comment>
    <comment ref="E4" authorId="0">
      <text>
        <r>
          <rPr>
            <sz val="10"/>
            <rFont val="Arial"/>
            <family val="2"/>
          </rPr>
          <t xml:space="preserve">DISTINCT removes repeats.
Expected: 9 unique cities.</t>
        </r>
      </text>
    </comment>
    <comment ref="E5" authorId="0">
      <text>
        <r>
          <rPr>
            <sz val="10"/>
            <rFont val="Arial"/>
            <family val="2"/>
          </rPr>
          <t xml:space="preserve">WHERE segment = 'Enterprise'.
Expected: Subset of customers.</t>
        </r>
      </text>
    </comment>
    <comment ref="E6" authorId="0">
      <text>
        <r>
          <rPr>
            <sz val="10"/>
            <rFont val="Arial"/>
            <family val="2"/>
          </rPr>
          <t xml:space="preserve">ORDER BY price DESC then LIMIT 5.
Expected: 5 rows.</t>
        </r>
      </text>
    </comment>
    <comment ref="E7" authorId="0">
      <text>
        <r>
          <rPr>
            <sz val="10"/>
            <rFont val="Arial"/>
            <family val="2"/>
          </rPr>
          <t xml:space="preserve">BETWEEN is inclusive on both ends.
Expected: Mid-range products.</t>
        </r>
      </text>
    </comment>
    <comment ref="E8" authorId="0">
      <text>
        <r>
          <rPr>
            <sz val="10"/>
            <rFont val="Arial"/>
            <family val="2"/>
          </rPr>
          <t xml:space="preserve">Compute price*0.8 and alias it with AS.
Expected: 4 electronics rows.</t>
        </r>
      </text>
    </comment>
    <comment ref="E9" authorId="0">
      <text>
        <r>
          <rPr>
            <sz val="10"/>
            <rFont val="Arial"/>
            <family val="2"/>
          </rPr>
          <t xml:space="preserve">BETWEEN '2023-01-01' AND '2023-12-31' (or YEAR(signup_date)=2023).
Expected: 2023 signups.</t>
        </r>
      </text>
    </comment>
    <comment ref="E10" authorId="0">
      <text>
        <r>
          <rPr>
            <sz val="10"/>
            <rFont val="Arial"/>
            <family val="2"/>
          </rPr>
          <t xml:space="preserve">status IN ('CANCELLED','RETURNED').
Expected: 4 rows.</t>
        </r>
      </text>
    </comment>
    <comment ref="E11" authorId="0">
      <text>
        <r>
          <rPr>
            <sz val="10"/>
            <rFont val="Arial"/>
            <family val="2"/>
          </rPr>
          <t xml:space="preserve">LIKE 'A%' — % is the wildcard.
Expected: Aarav.</t>
        </r>
      </text>
    </comment>
    <comment ref="E12" authorId="0">
      <text>
        <r>
          <rPr>
            <sz val="10"/>
            <rFont val="Arial"/>
            <family val="2"/>
          </rPr>
          <t xml:space="preserve">NULL is tested with IS NULL, never with = NULL.
Expected: 1 row (Cloud IDE License).</t>
        </r>
      </text>
    </comment>
    <comment ref="E13" authorId="0">
      <text>
        <r>
          <rPr>
            <sz val="10"/>
            <rFont val="Arial"/>
            <family val="2"/>
          </rPr>
          <t xml:space="preserve">Combine channel='WEB' AND a date range.
Expected: A few orders.</t>
        </r>
      </text>
    </comment>
    <comment ref="E14" authorId="0">
      <text>
        <r>
          <rPr>
            <sz val="10"/>
            <rFont val="Arial"/>
            <family val="2"/>
          </rPr>
          <t xml:space="preserve">status &lt;&gt; 'SUCCESS' (or NOT IN).
Expected: FAILED + REFUNDED rows.</t>
        </r>
      </text>
    </comment>
    <comment ref="E15" authorId="0">
      <text>
        <r>
          <rPr>
            <sz val="10"/>
            <rFont val="Arial"/>
            <family val="2"/>
          </rPr>
          <t xml:space="preserve">COUNT(*) with GROUP BY country.
Expected: 4 countries.</t>
        </r>
      </text>
    </comment>
    <comment ref="E16" authorId="0">
      <text>
        <r>
          <rPr>
            <sz val="10"/>
            <rFont val="Arial"/>
            <family val="2"/>
          </rPr>
          <t xml:space="preserve">COUNT(*) vs COUNT(DISTINCT customer_id) in one query.
Expected: 1 row, 2 numbers.</t>
        </r>
      </text>
    </comment>
    <comment ref="E17" authorId="0">
      <text>
        <r>
          <rPr>
            <sz val="10"/>
            <rFont val="Arial"/>
            <family val="2"/>
          </rPr>
          <t xml:space="preserve">AVG + GROUP BY; ROUND for display.
Expected: 5 categories.</t>
        </r>
      </text>
    </comment>
    <comment ref="E18" authorId="0">
      <text>
        <r>
          <rPr>
            <sz val="10"/>
            <rFont val="Arial"/>
            <family val="2"/>
          </rPr>
          <t xml:space="preserve">Filter groups with HAVING (WHERE can't see aggregates).
Expected: Few categories.</t>
        </r>
      </text>
    </comment>
    <comment ref="E19" authorId="0">
      <text>
        <r>
          <rPr>
            <sz val="10"/>
            <rFont val="Arial"/>
            <family val="2"/>
          </rPr>
          <t xml:space="preserve">SUM(quantity) GROUP BY order_id.
Expected: 50 rows.</t>
        </r>
      </text>
    </comment>
    <comment ref="E20" authorId="0">
      <text>
        <r>
          <rPr>
            <sz val="10"/>
            <rFont val="Arial"/>
            <family val="2"/>
          </rPr>
          <t xml:space="preserve">Join items→products, aggregate, ORDER BY DESC, LIMIT.
Expected: 5 rows.</t>
        </r>
      </text>
    </comment>
    <comment ref="E21" authorId="0">
      <text>
        <r>
          <rPr>
            <sz val="10"/>
            <rFont val="Arial"/>
            <family val="2"/>
          </rPr>
          <t xml:space="preserve">INNER JOIN orders→customers on customer_id.
Expected: 50 rows.</t>
        </r>
      </text>
    </comment>
    <comment ref="E22" authorId="0">
      <text>
        <r>
          <rPr>
            <sz val="10"/>
            <rFont val="Arial"/>
            <family val="2"/>
          </rPr>
          <t xml:space="preserve">Join order_items→products; compute the product in SELECT.
Expected: 101 rows.</t>
        </r>
      </text>
    </comment>
    <comment ref="E23" authorId="0">
      <text>
        <r>
          <rPr>
            <sz val="10"/>
            <rFont val="Arial"/>
            <family val="2"/>
          </rPr>
          <t xml:space="preserve">LEFT JOIN orders; keep rows where the right side IS NULL (anti-join).
Expected: 2 rows (ids 19, 20).</t>
        </r>
      </text>
    </comment>
    <comment ref="E24" authorId="0">
      <text>
        <r>
          <rPr>
            <sz val="10"/>
            <rFont val="Arial"/>
            <family val="2"/>
          </rPr>
          <t xml:space="preserve">Same anti-join shape against order_items.
Expected: 1 row (Cable Organizer).</t>
        </r>
      </text>
    </comment>
    <comment ref="E25" authorId="0">
      <text>
        <r>
          <rPr>
            <sz val="10"/>
            <rFont val="Arial"/>
            <family val="2"/>
          </rPr>
          <t xml:space="preserve">customers→orders→payments; filter payment status; GROUP BY customer.
Expected: Per-customer totals.</t>
        </r>
      </text>
    </comment>
    <comment ref="E26" authorId="0">
      <text>
        <r>
          <rPr>
            <sz val="10"/>
            <rFont val="Arial"/>
            <family val="2"/>
          </rPr>
          <t xml:space="preserve">Self-join employees to itself; LEFT JOIN so the CEO still appears.
Expected: 12 rows, CEO's manager NULL.</t>
        </r>
      </text>
    </comment>
    <comment ref="E27" authorId="0">
      <text>
        <r>
          <rPr>
            <sz val="10"/>
            <rFont val="Arial"/>
            <family val="2"/>
          </rPr>
          <t xml:space="preserve">Scalar subquery in WHERE: price &gt; (SELECT AVG(price)...).
Expected: Above-average items.</t>
        </r>
      </text>
    </comment>
    <comment ref="E28" authorId="0">
      <text>
        <r>
          <rPr>
            <sz val="10"/>
            <rFont val="Arial"/>
            <family val="2"/>
          </rPr>
          <t xml:space="preserve">Correlated EXISTS against orders.
Expected: 18 customers.</t>
        </r>
      </text>
    </comment>
    <comment ref="E29" authorId="0">
      <text>
        <r>
          <rPr>
            <sz val="10"/>
            <rFont val="Arial"/>
            <family val="2"/>
          </rPr>
          <t xml:space="preserve">Aggregate in a derived table, then filter it. MySQL requires an alias on the derived table.
Expected: High-value orders.</t>
        </r>
      </text>
    </comment>
    <comment ref="E30" authorId="0">
      <text>
        <r>
          <rPr>
            <sz val="10"/>
            <rFont val="Arial"/>
            <family val="2"/>
          </rPr>
          <t xml:space="preserve">price = (SELECT MAX(price) ... WHERE same category).
Expected: One per category.</t>
        </r>
      </text>
    </comment>
    <comment ref="E31" authorId="0">
      <text>
        <r>
          <rPr>
            <sz val="10"/>
            <rFont val="Arial"/>
            <family val="2"/>
          </rPr>
          <t xml:space="preserve">CTE of per-customer totals; compare each to AVG of those totals.
Expected: Top spenders.</t>
        </r>
      </text>
    </comment>
    <comment ref="E32" authorId="0">
      <text>
        <r>
          <rPr>
            <sz val="10"/>
            <rFont val="Arial"/>
            <family val="2"/>
          </rPr>
          <t xml:space="preserve">NOT EXISTS over items→orders→payments with status SUCCESS.
Expected: Includes Cable Organizer.</t>
        </r>
      </text>
    </comment>
    <comment ref="E33" authorId="0">
      <text>
        <r>
          <rPr>
            <sz val="10"/>
            <rFont val="Arial"/>
            <family val="2"/>
          </rPr>
          <t xml:space="preserve">CASE WHEN ... THEN ... ELSE ... END AS tier.
Expected: All 15 products.</t>
        </r>
      </text>
    </comment>
    <comment ref="E34" authorId="0">
      <text>
        <r>
          <rPr>
            <sz val="10"/>
            <rFont val="Arial"/>
            <family val="2"/>
          </rPr>
          <t xml:space="preserve">GROUP BY a CASE expression.
Expected: 3 buckets.</t>
        </r>
      </text>
    </comment>
    <comment ref="E35" authorId="0">
      <text>
        <r>
          <rPr>
            <sz val="10"/>
            <rFont val="Arial"/>
            <family val="2"/>
          </rPr>
          <t xml:space="preserve">COALESCE(cost,0) handles the NULL.
Expected: Margins incl. NULL-cost product.</t>
        </r>
      </text>
    </comment>
    <comment ref="E36" authorId="0">
      <text>
        <r>
          <rPr>
            <sz val="10"/>
            <rFont val="Arial"/>
            <family val="2"/>
          </rPr>
          <t xml:space="preserve">UNION two single-column SELECTs; UNION drops duplicates, UNION ALL keeps them.
Expected: Cities + countries merged.</t>
        </r>
      </text>
    </comment>
    <comment ref="E37" authorId="0">
      <text>
        <r>
          <rPr>
            <sz val="10"/>
            <rFont val="Arial"/>
            <family val="2"/>
          </rPr>
          <t xml:space="preserve">Two ways: INTERSECT (MySQL 8.0.31+) or GROUP BY with HAVING on conditional MIN/MAX.
Expected: Electronics, Accessories.</t>
        </r>
      </text>
    </comment>
    <comment ref="E38" authorId="0">
      <text>
        <r>
          <rPr>
            <sz val="10"/>
            <rFont val="Arial"/>
            <family val="2"/>
          </rPr>
          <t xml:space="preserve">Conditional aggregation: SUM(CASE WHEN ... THEN 1 ELSE 0 END) per bucket.
Expected: Pivot-style result.</t>
        </r>
      </text>
    </comment>
    <comment ref="E39" authorId="0">
      <text>
        <r>
          <rPr>
            <sz val="10"/>
            <rFont val="Arial"/>
            <family val="2"/>
          </rPr>
          <t xml:space="preserve">RANK() OVER (PARTITION BY category ORDER BY price DESC).
Expected: Ranked per category.</t>
        </r>
      </text>
    </comment>
    <comment ref="E40" authorId="0">
      <text>
        <r>
          <rPr>
            <sz val="10"/>
            <rFont val="Arial"/>
            <family val="2"/>
          </rPr>
          <t xml:space="preserve">SUM(amount) OVER (ORDER BY payment_date, payment_id).
Expected: Cumulative column.</t>
        </r>
      </text>
    </comment>
    <comment ref="E41" authorId="0">
      <text>
        <r>
          <rPr>
            <sz val="10"/>
            <rFont val="Arial"/>
            <family val="2"/>
          </rPr>
          <t xml:space="preserve">ROW_NUMBER() OVER (PARTITION BY customer_id ORDER BY order_date).
Expected: Per-customer sequence.</t>
        </r>
      </text>
    </comment>
    <comment ref="E42" authorId="0">
      <text>
        <r>
          <rPr>
            <sz val="10"/>
            <rFont val="Arial"/>
            <family val="2"/>
          </rPr>
          <t xml:space="preserve">LAG(amount) OVER (ORDER BY payment_date, payment_id); subtract for the delta.
Expected: prev + delta columns.</t>
        </r>
      </text>
    </comment>
    <comment ref="E43" authorId="0">
      <text>
        <r>
          <rPr>
            <sz val="10"/>
            <rFont val="Arial"/>
            <family val="2"/>
          </rPr>
          <t xml:space="preserve">Revenue CTE → ROW_NUMBER per category → keep rn&lt;=2. Derived tables need an alias in MySQL.
Expected: ≤2 rows per category.</t>
        </r>
      </text>
    </comment>
    <comment ref="E44" authorId="0">
      <text>
        <r>
          <rPr>
            <sz val="10"/>
            <rFont val="Arial"/>
            <family val="2"/>
          </rPr>
          <t xml:space="preserve">NTILE(4) OVER (ORDER BY price).
Expected: Quartiles 1–4.</t>
        </r>
      </text>
    </comment>
    <comment ref="E45" authorId="0">
      <text>
        <r>
          <rPr>
            <sz val="10"/>
            <rFont val="Arial"/>
            <family val="2"/>
          </rPr>
          <t xml:space="preserve">WITH rev AS (...) SELECT ... WHERE revenue &gt; 50000.
Expected: High-revenue products.</t>
        </r>
      </text>
    </comment>
    <comment ref="E46" authorId="0">
      <text>
        <r>
          <rPr>
            <sz val="10"/>
            <rFont val="Arial"/>
            <family val="2"/>
          </rPr>
          <t xml:space="preserve">DATE_FORMAT(order_date, '%Y-%m'); filter to 2024.
Expected: Per-month counts.</t>
        </r>
      </text>
    </comment>
    <comment ref="E47" authorId="0">
      <text>
        <r>
          <rPr>
            <sz val="10"/>
            <rFont val="Arial"/>
            <family val="2"/>
          </rPr>
          <t xml:space="preserve">WITH RECURSIVE anchored on manager_id IS NULL; lvl+1 each hop.
Expected: 12 rows with levels 1–4.</t>
        </r>
      </text>
    </comment>
    <comment ref="E48" authorId="0">
      <text>
        <r>
          <rPr>
            <sz val="10"/>
            <rFont val="Arial"/>
            <family val="2"/>
          </rPr>
          <t xml:space="preserve">Recursive CTE seeded with Vikram's direct reports.
Expected: Engineering subtree (5 people).</t>
        </r>
      </text>
    </comment>
    <comment ref="E49" authorId="0">
      <text>
        <r>
          <rPr>
            <sz val="10"/>
            <rFont val="Arial"/>
            <family val="2"/>
          </rPr>
          <t xml:space="preserve">CTE of MIN(order_date) per customer; filter that minimum.
Expected: 2023 first-timers.</t>
        </r>
      </text>
    </comment>
    <comment ref="E50" authorId="0">
      <text>
        <r>
          <rPr>
            <sz val="10"/>
            <rFont val="Arial"/>
            <family val="2"/>
          </rPr>
          <t xml:space="preserve">CTE of monthly totals + LAG(tot) OVER (ORDER BY ym).
Expected: ym, total, mom_change.</t>
        </r>
      </text>
    </comment>
    <comment ref="E51" authorId="0">
      <text>
        <r>
          <rPr>
            <sz val="10"/>
            <rFont val="Arial"/>
            <family val="2"/>
          </rPr>
          <t xml:space="preserve">DATE_FORMAT to YYYY-MM; SUM; GROUP BY.
Expected: Monthly revenue.</t>
        </r>
      </text>
    </comment>
    <comment ref="E52" authorId="0">
      <text>
        <r>
          <rPr>
            <sz val="10"/>
            <rFont val="Arial"/>
            <family val="2"/>
          </rPr>
          <t xml:space="preserve">ROW_NUMBER() per customer ordered by date DESC; keep rn=1 (classic top-N per group).
Expected: One row per buyer.</t>
        </r>
      </text>
    </comment>
    <comment ref="E53" authorId="0">
      <text>
        <r>
          <rPr>
            <sz val="10"/>
            <rFont val="Arial"/>
            <family val="2"/>
          </rPr>
          <t xml:space="preserve">GROUP BY city HAVING COUNT(*) &gt; 2.
Expected: Bengaluru, Mumbai, Delhi.</t>
        </r>
      </text>
    </comment>
    <comment ref="E54" authorId="0">
      <text>
        <r>
          <rPr>
            <sz val="10"/>
            <rFont val="Arial"/>
            <family val="2"/>
          </rPr>
          <t xml:space="preserve">NOT EXISTS for the 2024 side (or EXCEPT on MySQL 8.0.31+).
Expected: At least customer 13.</t>
        </r>
      </text>
    </comment>
    <comment ref="E55" authorId="0">
      <text>
        <r>
          <rPr>
            <sz val="10"/>
            <rFont val="Arial"/>
            <family val="2"/>
          </rPr>
          <t xml:space="preserve">SUM(revenue) OVER () gives the grand total to divide by.
Expected: Percentages summing to 100.</t>
        </r>
      </text>
    </comment>
    <comment ref="E56" authorId="0">
      <text>
        <r>
          <rPr>
            <sz val="10"/>
            <rFont val="Arial"/>
            <family val="2"/>
          </rPr>
          <t xml:space="preserve">DATE_FORMAT(signup_date,'%Y-%m'); COUNT; GROUP BY.
Expected: Acquisition curve.</t>
        </r>
      </text>
    </comment>
  </commentList>
</comments>
</file>

<file path=xl/sharedStrings.xml><?xml version="1.0" encoding="utf-8"?>
<sst xmlns="http://schemas.openxmlformats.org/spreadsheetml/2006/main" count="808" uniqueCount="332">
  <si>
    <t xml:space="preserve">🗄  SQL Practice — 54 Queries on the sql_practice Database</t>
  </si>
  <si>
    <t xml:space="preserve">Topic</t>
  </si>
  <si>
    <t xml:space="preserve">Total</t>
  </si>
  <si>
    <t xml:space="preserve">Easy</t>
  </si>
  <si>
    <t xml:space="preserve">Medium</t>
  </si>
  <si>
    <t xml:space="preserve">Hard</t>
  </si>
  <si>
    <t xml:space="preserve">✅ Done</t>
  </si>
  <si>
    <t xml:space="preserve">% Done</t>
  </si>
  <si>
    <t xml:space="preserve">1. SELECT basics</t>
  </si>
  <si>
    <t xml:space="preserve">2. Filtering</t>
  </si>
  <si>
    <t xml:space="preserve">3. Aggregation</t>
  </si>
  <si>
    <t xml:space="preserve">4. Joins</t>
  </si>
  <si>
    <t xml:space="preserve">5. Subqueries</t>
  </si>
  <si>
    <t xml:space="preserve">6. CASE &amp; cond. agg</t>
  </si>
  <si>
    <t xml:space="preserve">7. Window funcs</t>
  </si>
  <si>
    <t xml:space="preserve">8. CTEs &amp; recursion</t>
  </si>
  <si>
    <t xml:space="preserve">9. Dates &amp; advanced</t>
  </si>
  <si>
    <t xml:space="preserve">TOTAL</t>
  </si>
  <si>
    <t xml:space="preserve">Setup: load schema_and_seed_mysql.sql into MySQL (DBeaver: open file → Execute SQL Script). Write queries in DBeaver, track Status here. Solutions are HIDDEN to keep you honest — right-click any sheet tab → Unhide → 🔑 Solutions when you truly need them. Use 🤖 Ask AI to generate a review/teaching prompt for every query you write.</t>
  </si>
  <si>
    <t xml:space="preserve">Database Schema — sql_practice  (MySQL 8)</t>
  </si>
  <si>
    <t xml:space="preserve">Table</t>
  </si>
  <si>
    <t xml:space="preserve">Column</t>
  </si>
  <si>
    <t xml:space="preserve">Type</t>
  </si>
  <si>
    <t xml:space="preserve">Key / Notes</t>
  </si>
  <si>
    <t xml:space="preserve">employees</t>
  </si>
  <si>
    <t xml:space="preserve">employee_id</t>
  </si>
  <si>
    <t xml:space="preserve">INT</t>
  </si>
  <si>
    <t xml:space="preserve">PK</t>
  </si>
  <si>
    <t xml:space="preserve">name</t>
  </si>
  <si>
    <t xml:space="preserve">VARCHAR(100)</t>
  </si>
  <si>
    <t xml:space="preserve">NOT NULL</t>
  </si>
  <si>
    <t xml:space="preserve">title</t>
  </si>
  <si>
    <t xml:space="preserve">department</t>
  </si>
  <si>
    <t xml:space="preserve">VARCHAR(50)</t>
  </si>
  <si>
    <t xml:space="preserve">Executive / Engineering / Sales</t>
  </si>
  <si>
    <t xml:space="preserve">manager_id</t>
  </si>
  <si>
    <t xml:space="preserve">FK → employees.employee_id (self-join!); NULL for the CEO</t>
  </si>
  <si>
    <t xml:space="preserve">hire_date</t>
  </si>
  <si>
    <t xml:space="preserve">DATE</t>
  </si>
  <si>
    <t xml:space="preserve">salary</t>
  </si>
  <si>
    <t xml:space="preserve">customers</t>
  </si>
  <si>
    <t xml:space="preserve">customer_id</t>
  </si>
  <si>
    <t xml:space="preserve">email</t>
  </si>
  <si>
    <t xml:space="preserve">VARCHAR(150)</t>
  </si>
  <si>
    <t xml:space="preserve">city</t>
  </si>
  <si>
    <t xml:space="preserve">Uneven distribution — some cities have &gt;2 customers</t>
  </si>
  <si>
    <t xml:space="preserve">country</t>
  </si>
  <si>
    <t xml:space="preserve">India / UK / USA / Germany</t>
  </si>
  <si>
    <t xml:space="preserve">segment</t>
  </si>
  <si>
    <t xml:space="preserve">VARCHAR(20)</t>
  </si>
  <si>
    <t xml:space="preserve">Consumer / SME / Enterprise</t>
  </si>
  <si>
    <t xml:space="preserve">signup_date</t>
  </si>
  <si>
    <t xml:space="preserve">2022–2024</t>
  </si>
  <si>
    <t xml:space="preserve">products</t>
  </si>
  <si>
    <t xml:space="preserve">product_id</t>
  </si>
  <si>
    <t xml:space="preserve">category</t>
  </si>
  <si>
    <t xml:space="preserve">Electronics / Accessories / Home / Books / Software</t>
  </si>
  <si>
    <t xml:space="preserve">price</t>
  </si>
  <si>
    <t xml:space="preserve">DECIMAL(10,2)</t>
  </si>
  <si>
    <t xml:space="preserve">cost</t>
  </si>
  <si>
    <t xml:space="preserve">NULL for one product (IS NULL practice)</t>
  </si>
  <si>
    <t xml:space="preserve">orders</t>
  </si>
  <si>
    <t xml:space="preserve">order_id</t>
  </si>
  <si>
    <t xml:space="preserve">FK → customers; two customers have NO orders</t>
  </si>
  <si>
    <t xml:space="preserve">order_date</t>
  </si>
  <si>
    <t xml:space="preserve">Jan 2023 – Oct 2024</t>
  </si>
  <si>
    <t xml:space="preserve">status</t>
  </si>
  <si>
    <t xml:space="preserve">PLACED / SHIPPED / DELIVERED / CANCELLED / RETURNED</t>
  </si>
  <si>
    <t xml:space="preserve">channel</t>
  </si>
  <si>
    <t xml:space="preserve">VARCHAR(10)</t>
  </si>
  <si>
    <t xml:space="preserve">WEB / MOBILE / STORE</t>
  </si>
  <si>
    <t xml:space="preserve">order_items</t>
  </si>
  <si>
    <t xml:space="preserve">order_item_id</t>
  </si>
  <si>
    <t xml:space="preserve">FK → orders</t>
  </si>
  <si>
    <t xml:space="preserve">FK → products; one product is never ordered</t>
  </si>
  <si>
    <t xml:space="preserve">quantity</t>
  </si>
  <si>
    <t xml:space="preserve">1–3</t>
  </si>
  <si>
    <t xml:space="preserve">unit_price</t>
  </si>
  <si>
    <t xml:space="preserve">Some lines carry a 10% discount vs list price</t>
  </si>
  <si>
    <t xml:space="preserve">payments</t>
  </si>
  <si>
    <t xml:space="preserve">payment_id</t>
  </si>
  <si>
    <t xml:space="preserve">FK → orders; CANCELLED orders have no payment</t>
  </si>
  <si>
    <t xml:space="preserve">amount</t>
  </si>
  <si>
    <t xml:space="preserve">DECIMAL(12,2)</t>
  </si>
  <si>
    <t xml:space="preserve">Equals the order's item total</t>
  </si>
  <si>
    <t xml:space="preserve">payment_date</t>
  </si>
  <si>
    <t xml:space="preserve">method</t>
  </si>
  <si>
    <t xml:space="preserve">CARD / UPI / NETBANKING / WALLET / COD</t>
  </si>
  <si>
    <t xml:space="preserve">SUCCESS / FAILED / REFUNDED — some orders have 2 payment rows</t>
  </si>
  <si>
    <t xml:space="preserve">Row counts: employees 12 · customers 20 · products 15 · orders 50 · order_items 101 · payments 52</t>
  </si>
  <si>
    <t xml:space="preserve">Planted edge cases: customers 19 &amp; 20 never ordered · product 15 never sold · orders 5 &amp; 23 unpaid · product 13 has NULL cost · customer 13 ordered only in 2023 · orders 8 &amp; 17 have a FAILED then SUCCESS payment · 2 orders RETURNED with a REFUNDED payment.</t>
  </si>
  <si>
    <t xml:space="preserve">Practice Queries — write your SQL in DBeaver, track status here</t>
  </si>
  <si>
    <t xml:space="preserve">#</t>
  </si>
  <si>
    <t xml:space="preserve">Diff</t>
  </si>
  <si>
    <t xml:space="preserve">Question</t>
  </si>
  <si>
    <t xml:space="preserve">💡 Hint (hover)</t>
  </si>
  <si>
    <t xml:space="preserve">Status</t>
  </si>
  <si>
    <t xml:space="preserve">Attempts</t>
  </si>
  <si>
    <t xml:space="preserve">My Notes</t>
  </si>
  <si>
    <t xml:space="preserve">List every product with its name, category and price, most expensive first.</t>
  </si>
  <si>
    <t xml:space="preserve">👁 hover</t>
  </si>
  <si>
    <t xml:space="preserve">⬜ Todo</t>
  </si>
  <si>
    <t xml:space="preserve">Show the distinct cities customers live in, alphabetically.</t>
  </si>
  <si>
    <t xml:space="preserve">Show the name and city of every Enterprise-segment customer.</t>
  </si>
  <si>
    <t xml:space="preserve">Find the 5 most expensive products (name, price).</t>
  </si>
  <si>
    <t xml:space="preserve">List products priced between 1000 and 5000, cheapest first.</t>
  </si>
  <si>
    <t xml:space="preserve">For Electronics, show name and a 20%-off price as discounted_price.</t>
  </si>
  <si>
    <t xml:space="preserve">Customers who signed up during 2023 (name, signup_date).</t>
  </si>
  <si>
    <t xml:space="preserve">Orders that were CANCELLED or RETURNED.</t>
  </si>
  <si>
    <t xml:space="preserve">Customers whose name starts with the letter A.</t>
  </si>
  <si>
    <t xml:space="preserve">Products that have no cost recorded.</t>
  </si>
  <si>
    <t xml:space="preserve">WEB-channel orders placed in Q1 2024.</t>
  </si>
  <si>
    <t xml:space="preserve">All payments that did not succeed.</t>
  </si>
  <si>
    <t xml:space="preserve">How many customers come from each country?</t>
  </si>
  <si>
    <t xml:space="preserve">Total number of orders, and how many distinct customers placed them.</t>
  </si>
  <si>
    <t xml:space="preserve">Average product price per category (2 dp), highest first.</t>
  </si>
  <si>
    <t xml:space="preserve">Categories that contain more than 2 products.</t>
  </si>
  <si>
    <t xml:space="preserve">Total quantity of items in each order (order_id, total_qty).</t>
  </si>
  <si>
    <t xml:space="preserve">Top 5 products by revenue (revenue = SUM(quantity*unit_price)).</t>
  </si>
  <si>
    <t xml:space="preserve">Show each order with the customer's name (order_id, name, order_date).</t>
  </si>
  <si>
    <t xml:space="preserve">Each order line with product name and line_total (quantity*unit_price).</t>
  </si>
  <si>
    <t xml:space="preserve">Customers who have never placed an order.</t>
  </si>
  <si>
    <t xml:space="preserve">Products that have never been ordered.</t>
  </si>
  <si>
    <t xml:space="preserve">Total SUCCESSFUL payment amount per customer, biggest spender first.</t>
  </si>
  <si>
    <t xml:space="preserve">Every employee next to their manager's name (employee, manager).</t>
  </si>
  <si>
    <t xml:space="preserve">Products priced above the average product price.</t>
  </si>
  <si>
    <t xml:space="preserve">Customers who have placed at least one order (use EXISTS).</t>
  </si>
  <si>
    <t xml:space="preserve">Orders whose total item value exceeds 20000 (order_id, order_value).</t>
  </si>
  <si>
    <t xml:space="preserve">The most expensive product in each category (correlated subquery).</t>
  </si>
  <si>
    <t xml:space="preserve">Customers whose total successful spend is above the average customer's spend.</t>
  </si>
  <si>
    <t xml:space="preserve">Products never sold in a successfully-paid order (NOT EXISTS).</t>
  </si>
  <si>
    <t xml:space="preserve">Label products 'Premium' when price&gt;=5000 else 'Standard' (name, price, tier).</t>
  </si>
  <si>
    <t xml:space="preserve">Count orders by lifecycle bucket: Open (PLACED/SHIPPED), Closed (DELIVERED), Lost (CANCELLED/RETURNED).</t>
  </si>
  <si>
    <t xml:space="preserve">Show product margin = price - cost, treating missing cost as 0.</t>
  </si>
  <si>
    <t xml:space="preserve">One combined, de-duplicated column of every city and every country (UNION).</t>
  </si>
  <si>
    <t xml:space="preserve">Categories that have BOTH a product under 1000 AND one over 5000.</t>
  </si>
  <si>
    <t xml:space="preserve">Per category, count Premium (&gt;=5000) vs Standard products in two columns.</t>
  </si>
  <si>
    <t xml:space="preserve">Rank products by price within each category (category, name, price, rnk).</t>
  </si>
  <si>
    <t xml:space="preserve">Running total of successful payments over time.</t>
  </si>
  <si>
    <t xml:space="preserve">Number each customer's orders chronologically (customer_id, order_date, seq).</t>
  </si>
  <si>
    <t xml:space="preserve">Each successful payment with the previous payment's amount and the difference.</t>
  </si>
  <si>
    <t xml:space="preserve">Top 2 products by revenue within each category.</t>
  </si>
  <si>
    <t xml:space="preserve">Bucket products into 4 price quartiles (name, price, quartile).</t>
  </si>
  <si>
    <t xml:space="preserve">Using a CTE for product revenue, list products with revenue over 50000.</t>
  </si>
  <si>
    <t xml:space="preserve">Monthly order counts in 2024 (month, orders).</t>
  </si>
  <si>
    <t xml:space="preserve">Every employee with their level in the org chart (CEO = level 1).</t>
  </si>
  <si>
    <t xml:space="preserve">Everyone who reports to Vikram Sethi, directly or indirectly.</t>
  </si>
  <si>
    <t xml:space="preserve">Customers whose first-ever order was in 2023 (name, first_order).</t>
  </si>
  <si>
    <t xml:space="preserve">Month-over-month change in successful payment totals during 2024.</t>
  </si>
  <si>
    <t xml:space="preserve">Revenue per month from successful payments, newest month first.</t>
  </si>
  <si>
    <t xml:space="preserve">The single most recent order for each customer.</t>
  </si>
  <si>
    <t xml:space="preserve">Cities that have more than 2 customers (city, customer_count).</t>
  </si>
  <si>
    <t xml:space="preserve">Customers who ordered in 2023 but never in 2024.</t>
  </si>
  <si>
    <t xml:space="preserve">Each category's share of total revenue as a percentage.</t>
  </si>
  <si>
    <t xml:space="preserve">New customers acquired per signup month (signup_month, new_customers).</t>
  </si>
  <si>
    <t xml:space="preserve">🤖  SQL Review Prompt Generator — for Copilot / ChatGPT / Gemini / Claude</t>
  </si>
  <si>
    <t xml:space="preserve">engine</t>
  </si>
  <si>
    <t xml:space="preserve">1) Query #  (1–54)</t>
  </si>
  <si>
    <t xml:space="preserve">2) Mode</t>
  </si>
  <si>
    <t xml:space="preserve">Teach step-by-step</t>
  </si>
  <si>
    <t xml:space="preserve">3) My SQL (paste from DBeaver — double-click the cell first)</t>
  </si>
  <si>
    <t xml:space="preserve">Resolved → Question</t>
  </si>
  <si>
    <t xml:space="preserve">Topic · Diff · Expected</t>
  </si>
  <si>
    <t xml:space="preserve">✅ Generated prompt</t>
  </si>
  <si>
    <t xml:space="preserve">(click the cell below → Ctrl+C → paste into Copilot/your AI chat)</t>
  </si>
  <si>
    <t xml:space="preserve">Reference Solutions (MySQL 8) — every query validated against the database. Try first!</t>
  </si>
  <si>
    <t xml:space="preserve">Reference SQL</t>
  </si>
  <si>
    <t xml:space="preserve">Why it works</t>
  </si>
  <si>
    <t xml:space="preserve">SELECT name, category, price FROM products ORDER BY price DESC;</t>
  </si>
  <si>
    <t xml:space="preserve">ORDER BY price DESC; select only the 3 columns you need.</t>
  </si>
  <si>
    <t xml:space="preserve">SELECT DISTINCT city FROM customers ORDER BY city;</t>
  </si>
  <si>
    <t xml:space="preserve">DISTINCT removes repeats.</t>
  </si>
  <si>
    <t xml:space="preserve">SELECT name, city FROM customers WHERE segment = 'Enterprise';</t>
  </si>
  <si>
    <t xml:space="preserve">WHERE segment = 'Enterprise'.</t>
  </si>
  <si>
    <t xml:space="preserve">SELECT name, price FROM products ORDER BY price DESC LIMIT 5;</t>
  </si>
  <si>
    <t xml:space="preserve">ORDER BY price DESC then LIMIT 5.</t>
  </si>
  <si>
    <t xml:space="preserve">SELECT name, price FROM products WHERE price BETWEEN 1000 AND 5000 ORDER BY price;</t>
  </si>
  <si>
    <t xml:space="preserve">BETWEEN is inclusive on both ends.</t>
  </si>
  <si>
    <t xml:space="preserve">SELECT name, ROUND(price*0.8,2) AS discounted_price FROM products WHERE category='Electronics';</t>
  </si>
  <si>
    <t xml:space="preserve">Compute price*0.8 and alias it with AS.</t>
  </si>
  <si>
    <t xml:space="preserve">SELECT name, signup_date FROM customers WHERE signup_date BETWEEN '2023-01-01' AND '2023-12-31';</t>
  </si>
  <si>
    <t xml:space="preserve">BETWEEN '2023-01-01' AND '2023-12-31' (or YEAR(signup_date)=2023).</t>
  </si>
  <si>
    <t xml:space="preserve">SELECT order_id, status FROM orders WHERE status IN ('CANCELLED','RETURNED');</t>
  </si>
  <si>
    <t xml:space="preserve">status IN ('CANCELLED','RETURNED').</t>
  </si>
  <si>
    <t xml:space="preserve">SELECT name FROM customers WHERE name LIKE 'A%';</t>
  </si>
  <si>
    <t xml:space="preserve">LIKE 'A%' — % is the wildcard.</t>
  </si>
  <si>
    <t xml:space="preserve">SELECT name, category FROM products WHERE cost IS NULL;</t>
  </si>
  <si>
    <t xml:space="preserve">NULL is tested with IS NULL, never with = NULL.</t>
  </si>
  <si>
    <t xml:space="preserve">SELECT order_id, order_date FROM orders WHERE channel='WEB' AND order_date BETWEEN '2024-01-01' AND '2024-03-31';</t>
  </si>
  <si>
    <t xml:space="preserve">Combine channel='WEB' AND a date range.</t>
  </si>
  <si>
    <t xml:space="preserve">SELECT payment_id, order_id, amount, status FROM payments WHERE status &lt;&gt; 'SUCCESS';</t>
  </si>
  <si>
    <t xml:space="preserve">status &lt;&gt; 'SUCCESS' (or NOT IN).</t>
  </si>
  <si>
    <t xml:space="preserve">SELECT country, COUNT(*) AS customers FROM customers GROUP BY country ORDER BY customers DESC;</t>
  </si>
  <si>
    <t xml:space="preserve">COUNT(*) with GROUP BY country.</t>
  </si>
  <si>
    <t xml:space="preserve">SELECT COUNT(*) AS total_orders, COUNT(DISTINCT customer_id) AS buyers FROM orders;</t>
  </si>
  <si>
    <t xml:space="preserve">COUNT(*) vs COUNT(DISTINCT customer_id) in one query.</t>
  </si>
  <si>
    <t xml:space="preserve">SELECT category, ROUND(AVG(price),2) AS avg_price FROM products GROUP BY category ORDER BY avg_price DESC;</t>
  </si>
  <si>
    <t xml:space="preserve">AVG + GROUP BY; ROUND for display.</t>
  </si>
  <si>
    <t xml:space="preserve">SELECT category, COUNT(*) AS n FROM products GROUP BY category HAVING COUNT(*) &gt; 2;</t>
  </si>
  <si>
    <t xml:space="preserve">Filter groups with HAVING (WHERE can't see aggregates).</t>
  </si>
  <si>
    <t xml:space="preserve">SELECT order_id, SUM(quantity) AS total_qty FROM order_items GROUP BY order_id ORDER BY order_id;</t>
  </si>
  <si>
    <t xml:space="preserve">SUM(quantity) GROUP BY order_id.</t>
  </si>
  <si>
    <t xml:space="preserve">SELECT p.name, SUM(oi.quantity*oi.unit_price) AS revenue FROM order_items oi JOIN products p ON p.product_id=oi.product_id GROUP BY p.product_id, p.name ORDER BY revenue DESC LIMIT 5;</t>
  </si>
  <si>
    <t xml:space="preserve">Join items→products, aggregate, ORDER BY DESC, LIMIT.</t>
  </si>
  <si>
    <t xml:space="preserve">SELECT o.order_id, c.name, o.order_date FROM orders o JOIN customers c ON c.customer_id=o.customer_id ORDER BY o.order_id;</t>
  </si>
  <si>
    <t xml:space="preserve">INNER JOIN orders→customers on customer_id.</t>
  </si>
  <si>
    <t xml:space="preserve">SELECT oi.order_id, p.name, oi.quantity, oi.unit_price, oi.quantity*oi.unit_price AS line_total FROM order_items oi JOIN products p ON p.product_id=oi.product_id;</t>
  </si>
  <si>
    <t xml:space="preserve">Join order_items→products; compute the product in SELECT.</t>
  </si>
  <si>
    <t xml:space="preserve">SELECT c.customer_id, c.name FROM customers c LEFT JOIN orders o ON o.customer_id=c.customer_id WHERE o.order_id IS NULL;</t>
  </si>
  <si>
    <t xml:space="preserve">LEFT JOIN orders; keep rows where the right side IS NULL (anti-join).</t>
  </si>
  <si>
    <t xml:space="preserve">SELECT p.product_id, p.name FROM products p LEFT JOIN order_items oi ON oi.product_id=p.product_id WHERE oi.order_item_id IS NULL;</t>
  </si>
  <si>
    <t xml:space="preserve">Same anti-join shape against order_items.</t>
  </si>
  <si>
    <t xml:space="preserve">SELECT c.name, SUM(pmt.amount) AS total_paid FROM customers c JOIN orders o ON o.customer_id=c.customer_id JOIN payments pmt ON pmt.order_id=o.order_id WHERE pmt.status='SUCCESS' GROUP BY c.customer_id, c.name ORDER BY total_paid DESC;</t>
  </si>
  <si>
    <t xml:space="preserve">customers→orders→payments; filter payment status; GROUP BY customer.</t>
  </si>
  <si>
    <t xml:space="preserve">SELECT e.name AS employee, m.name AS manager FROM employees e LEFT JOIN employees m ON m.employee_id=e.manager_id ORDER BY e.employee_id;</t>
  </si>
  <si>
    <t xml:space="preserve">Self-join employees to itself; LEFT JOIN so the CEO still appears.</t>
  </si>
  <si>
    <t xml:space="preserve">SELECT name, price FROM products WHERE price &gt; (SELECT AVG(price) FROM products) ORDER BY price DESC;</t>
  </si>
  <si>
    <t xml:space="preserve">Scalar subquery in WHERE: price &gt; (SELECT AVG(price)...).</t>
  </si>
  <si>
    <t xml:space="preserve">SELECT name FROM customers c WHERE EXISTS (SELECT 1 FROM orders o WHERE o.customer_id=c.customer_id);</t>
  </si>
  <si>
    <t xml:space="preserve">Correlated EXISTS against orders.</t>
  </si>
  <si>
    <t xml:space="preserve">SELECT t.order_id, t.order_value FROM (SELECT order_id, SUM(quantity*unit_price) AS order_value FROM order_items GROUP BY order_id) AS t WHERE t.order_value &gt; 20000 ORDER BY t.order_value DESC;</t>
  </si>
  <si>
    <t xml:space="preserve">Aggregate in a derived table, then filter it. MySQL requires an alias on the derived table.</t>
  </si>
  <si>
    <t xml:space="preserve">SELECT name, category, price FROM products p WHERE price = (SELECT MAX(price) FROM products p2 WHERE p2.category=p.category) ORDER BY category;</t>
  </si>
  <si>
    <t xml:space="preserve">price = (SELECT MAX(price) ... WHERE same category).</t>
  </si>
  <si>
    <t xml:space="preserve">WITH spend AS (SELECT o.customer_id, SUM(p.amount) AS tot FROM orders o JOIN payments p ON p.order_id=o.order_id AND p.status='SUCCESS' GROUP BY o.customer_id) SELECT c.name, s.tot FROM spend s JOIN customers c ON c.customer_id=s.customer_id WHERE s.tot &gt; (SELECT AVG(tot) FROM spend) ORDER BY s.tot DESC;</t>
  </si>
  <si>
    <t xml:space="preserve">CTE of per-customer totals; compare each to AVG of those totals.</t>
  </si>
  <si>
    <t xml:space="preserve">SELECT p.name FROM products p WHERE NOT EXISTS (SELECT 1 FROM order_items oi JOIN orders o ON o.order_id=oi.order_id JOIN payments pm ON pm.order_id=o.order_id WHERE oi.product_id=p.product_id AND pm.status='SUCCESS');</t>
  </si>
  <si>
    <t xml:space="preserve">NOT EXISTS over items→orders→payments with status SUCCESS.</t>
  </si>
  <si>
    <t xml:space="preserve">SELECT name, price, CASE WHEN price&gt;=5000 THEN 'Premium' ELSE 'Standard' END AS tier FROM products;</t>
  </si>
  <si>
    <t xml:space="preserve">CASE WHEN ... THEN ... ELSE ... END AS tier.</t>
  </si>
  <si>
    <t xml:space="preserve">SELECT CASE WHEN status IN ('PLACED','SHIPPED') THEN 'Open' WHEN status='DELIVERED' THEN 'Closed' ELSE 'Lost' END AS bucket, COUNT(*) AS n FROM orders GROUP BY bucket;</t>
  </si>
  <si>
    <t xml:space="preserve">GROUP BY a CASE expression.</t>
  </si>
  <si>
    <t xml:space="preserve">SELECT name, price, COALESCE(cost,0) AS cost, price - COALESCE(cost,0) AS margin FROM products ORDER BY margin DESC;</t>
  </si>
  <si>
    <t xml:space="preserve">COALESCE(cost,0) handles the NULL.</t>
  </si>
  <si>
    <t xml:space="preserve">SELECT city AS location FROM customers UNION SELECT country FROM customers ORDER BY location;</t>
  </si>
  <si>
    <t xml:space="preserve">UNION two single-column SELECTs; UNION drops duplicates, UNION ALL keeps them.</t>
  </si>
  <si>
    <t xml:space="preserve">SELECT category FROM products GROUP BY category HAVING MIN(price) &lt; 1000 AND MAX(price) &gt; 5000;</t>
  </si>
  <si>
    <t xml:space="preserve">Two ways: INTERSECT (MySQL 8.0.31+) or GROUP BY with HAVING on conditional MIN/MAX.</t>
  </si>
  <si>
    <t xml:space="preserve">SELECT category, SUM(CASE WHEN price&gt;=5000 THEN 1 ELSE 0 END) AS premium, SUM(CASE WHEN price&lt;5000 THEN 1 ELSE 0 END) AS standard FROM products GROUP BY category;</t>
  </si>
  <si>
    <t xml:space="preserve">Conditional aggregation: SUM(CASE WHEN ... THEN 1 ELSE 0 END) per bucket.</t>
  </si>
  <si>
    <t xml:space="preserve">SELECT category, name, price, RANK() OVER (PARTITION BY category ORDER BY price DESC) AS rnk FROM products;</t>
  </si>
  <si>
    <t xml:space="preserve">RANK() OVER (PARTITION BY category ORDER BY price DESC).</t>
  </si>
  <si>
    <t xml:space="preserve">SELECT payment_date, amount, SUM(amount) OVER (ORDER BY payment_date, payment_id) AS running_total FROM payments WHERE status='SUCCESS';</t>
  </si>
  <si>
    <t xml:space="preserve">SUM(amount) OVER (ORDER BY payment_date, payment_id).</t>
  </si>
  <si>
    <t xml:space="preserve">SELECT customer_id, order_date, ROW_NUMBER() OVER (PARTITION BY customer_id ORDER BY order_date) AS seq FROM orders;</t>
  </si>
  <si>
    <t xml:space="preserve">ROW_NUMBER() OVER (PARTITION BY customer_id ORDER BY order_date).</t>
  </si>
  <si>
    <t xml:space="preserve">SELECT payment_date, amount, LAG(amount) OVER (ORDER BY payment_date, payment_id) AS prev_amount, amount - LAG(amount) OVER (ORDER BY payment_date, payment_id) AS delta FROM payments WHERE status='SUCCESS';</t>
  </si>
  <si>
    <t xml:space="preserve">LAG(amount) OVER (ORDER BY payment_date, payment_id); subtract for the delta.</t>
  </si>
  <si>
    <t xml:space="preserve">WITH rev AS (SELECT p.category, p.name, SUM(oi.quantity*oi.unit_price) AS revenue FROM order_items oi JOIN products p ON p.product_id=oi.product_id GROUP BY p.category, p.name) SELECT category, name, revenue FROM (SELECT category, name, revenue, ROW_NUMBER() OVER (PARTITION BY category ORDER BY revenue DESC) AS rn FROM rev) AS ranked WHERE rn&lt;=2;</t>
  </si>
  <si>
    <t xml:space="preserve">Revenue CTE → ROW_NUMBER per category → keep rn&lt;=2. Derived tables need an alias in MySQL.</t>
  </si>
  <si>
    <t xml:space="preserve">SELECT name, price, NTILE(4) OVER (ORDER BY price) AS quartile FROM products;</t>
  </si>
  <si>
    <t xml:space="preserve">NTILE(4) OVER (ORDER BY price).</t>
  </si>
  <si>
    <t xml:space="preserve">WITH rev AS (SELECT p.name, SUM(oi.quantity*oi.unit_price) AS revenue FROM order_items oi JOIN products p ON p.product_id=oi.product_id GROUP BY p.name) SELECT * FROM rev WHERE revenue &gt; 50000 ORDER BY revenue DESC;</t>
  </si>
  <si>
    <t xml:space="preserve">WITH rev AS (...) SELECT ... WHERE revenue &gt; 50000.</t>
  </si>
  <si>
    <t xml:space="preserve">SELECT DATE_FORMAT(order_date, '%Y-%m') AS month, COUNT(*) AS orders FROM orders WHERE order_date &gt;= '2024-01-01' AND order_date &lt; '2025-01-01' GROUP BY month ORDER BY month;</t>
  </si>
  <si>
    <t xml:space="preserve">DATE_FORMAT(order_date, '%Y-%m'); filter to 2024.</t>
  </si>
  <si>
    <t xml:space="preserve">WITH RECURSIVE chain AS (SELECT employee_id, name, manager_id, 1 AS lvl FROM employees WHERE manager_id IS NULL UNION ALL SELECT e.employee_id, e.name, e.manager_id, c.lvl+1 FROM employees e JOIN chain c ON e.manager_id=c.employee_id) SELECT name, lvl FROM chain ORDER BY lvl, name;</t>
  </si>
  <si>
    <t xml:space="preserve">WITH RECURSIVE anchored on manager_id IS NULL; lvl+1 each hop.</t>
  </si>
  <si>
    <t xml:space="preserve">WITH RECURSIVE reports AS (SELECT employee_id, name, manager_id FROM employees WHERE manager_id=(SELECT employee_id FROM employees WHERE name='Vikram Sethi') UNION ALL SELECT e.employee_id, e.name, e.manager_id FROM employees e JOIN reports r ON e.manager_id=r.employee_id) SELECT name FROM reports ORDER BY name;</t>
  </si>
  <si>
    <t xml:space="preserve">Recursive CTE seeded with Vikram's direct reports.</t>
  </si>
  <si>
    <t xml:space="preserve">WITH firsts AS (SELECT customer_id, MIN(order_date) AS first_order FROM orders GROUP BY customer_id) SELECT c.name, f.first_order FROM firsts f JOIN customers c ON c.customer_id=f.customer_id WHERE f.first_order &lt; '2024-01-01' ORDER BY f.first_order;</t>
  </si>
  <si>
    <t xml:space="preserve">CTE of MIN(order_date) per customer; filter that minimum.</t>
  </si>
  <si>
    <t xml:space="preserve">WITH m AS (SELECT DATE_FORMAT(payment_date, '%Y-%m') AS ym, SUM(amount) AS tot FROM payments WHERE status='SUCCESS' AND payment_date&gt;='2024-01-01' AND payment_date&lt;'2025-01-01' GROUP BY ym) SELECT ym, tot, tot - LAG(tot) OVER (ORDER BY ym) AS mom_change FROM m ORDER BY ym;</t>
  </si>
  <si>
    <t xml:space="preserve">CTE of monthly totals + LAG(tot) OVER (ORDER BY ym).</t>
  </si>
  <si>
    <t xml:space="preserve">SELECT DATE_FORMAT(payment_date, '%Y-%m') AS month, SUM(amount) AS revenue FROM payments WHERE status='SUCCESS' GROUP BY month ORDER BY month DESC;</t>
  </si>
  <si>
    <t xml:space="preserve">DATE_FORMAT to YYYY-MM; SUM; GROUP BY.</t>
  </si>
  <si>
    <t xml:space="preserve">SELECT customer_id, order_id, order_date FROM (SELECT customer_id, order_id, order_date, ROW_NUMBER() OVER (PARTITION BY customer_id ORDER BY order_date DESC, order_id DESC) AS rn FROM orders) AS t WHERE rn=1 ORDER BY customer_id;</t>
  </si>
  <si>
    <t xml:space="preserve">ROW_NUMBER() per customer ordered by date DESC; keep rn=1 (classic top-N per group).</t>
  </si>
  <si>
    <t xml:space="preserve">SELECT city, COUNT(*) AS customer_count FROM customers GROUP BY city HAVING COUNT(*) &gt; 2 ORDER BY customer_count DESC;</t>
  </si>
  <si>
    <t xml:space="preserve">GROUP BY city HAVING COUNT(*) &gt; 2.</t>
  </si>
  <si>
    <t xml:space="preserve">SELECT DISTINCT c.customer_id, c.name FROM customers c JOIN orders o ON o.customer_id=c.customer_id AND o.order_date &lt; '2024-01-01' WHERE NOT EXISTS (SELECT 1 FROM orders o2 WHERE o2.customer_id=c.customer_id AND o2.order_date &gt;= '2024-01-01');</t>
  </si>
  <si>
    <t xml:space="preserve">NOT EXISTS for the 2024 side (or EXCEPT on MySQL 8.0.31+).</t>
  </si>
  <si>
    <t xml:space="preserve">WITH rev AS (SELECT p.category, SUM(oi.quantity*oi.unit_price) AS revenue FROM order_items oi JOIN products p ON p.product_id=oi.product_id GROUP BY p.category) SELECT category, revenue, ROUND(100.0*revenue/SUM(revenue) OVER (),2) AS pct_of_total FROM rev ORDER BY revenue DESC;</t>
  </si>
  <si>
    <t xml:space="preserve">SUM(revenue) OVER () gives the grand total to divide by.</t>
  </si>
  <si>
    <t xml:space="preserve">SELECT DATE_FORMAT(signup_date,'%Y-%m') AS signup_month, COUNT(*) AS new_customers FROM customers GROUP BY signup_month ORDER BY signup_month;</t>
  </si>
  <si>
    <t xml:space="preserve">DATE_FORMAT(signup_date,'%Y-%m'); COUNT; GROUP BY.</t>
  </si>
  <si>
    <t xml:space="preserve">topic</t>
  </si>
  <si>
    <t xml:space="preserve">diff</t>
  </si>
  <si>
    <t xml:space="preserve">question</t>
  </si>
  <si>
    <t xml:space="preserve">hint_expected</t>
  </si>
  <si>
    <t xml:space="preserve">15 rows sorted by price.</t>
  </si>
  <si>
    <t xml:space="preserve">9 unique cities.</t>
  </si>
  <si>
    <t xml:space="preserve">Subset of customers.</t>
  </si>
  <si>
    <t xml:space="preserve">5 rows.</t>
  </si>
  <si>
    <t xml:space="preserve">Mid-range products.</t>
  </si>
  <si>
    <t xml:space="preserve">4 electronics rows.</t>
  </si>
  <si>
    <t xml:space="preserve">2023 signups.</t>
  </si>
  <si>
    <t xml:space="preserve">4 rows.</t>
  </si>
  <si>
    <t xml:space="preserve">Aarav.</t>
  </si>
  <si>
    <t xml:space="preserve">1 row (Cloud IDE License).</t>
  </si>
  <si>
    <t xml:space="preserve">A few orders.</t>
  </si>
  <si>
    <t xml:space="preserve">FAILED + REFUNDED rows.</t>
  </si>
  <si>
    <t xml:space="preserve">4 countries.</t>
  </si>
  <si>
    <t xml:space="preserve">1 row, 2 numbers.</t>
  </si>
  <si>
    <t xml:space="preserve">5 categories.</t>
  </si>
  <si>
    <t xml:space="preserve">Few categories.</t>
  </si>
  <si>
    <t xml:space="preserve">50 rows.</t>
  </si>
  <si>
    <t xml:space="preserve">101 rows.</t>
  </si>
  <si>
    <t xml:space="preserve">2 rows (ids 19, 20).</t>
  </si>
  <si>
    <t xml:space="preserve">1 row (Cable Organizer).</t>
  </si>
  <si>
    <t xml:space="preserve">Per-customer totals.</t>
  </si>
  <si>
    <t xml:space="preserve">12 rows, CEO's manager NULL.</t>
  </si>
  <si>
    <t xml:space="preserve">Above-average items.</t>
  </si>
  <si>
    <t xml:space="preserve">18 customers.</t>
  </si>
  <si>
    <t xml:space="preserve">High-value orders.</t>
  </si>
  <si>
    <t xml:space="preserve">One per category.</t>
  </si>
  <si>
    <t xml:space="preserve">Top spenders.</t>
  </si>
  <si>
    <t xml:space="preserve">Includes Cable Organizer.</t>
  </si>
  <si>
    <t xml:space="preserve">All 15 products.</t>
  </si>
  <si>
    <t xml:space="preserve">3 buckets.</t>
  </si>
  <si>
    <t xml:space="preserve">Margins incl. NULL-cost product.</t>
  </si>
  <si>
    <t xml:space="preserve">Cities + countries merged.</t>
  </si>
  <si>
    <t xml:space="preserve">Electronics, Accessories.</t>
  </si>
  <si>
    <t xml:space="preserve">Pivot-style result.</t>
  </si>
  <si>
    <t xml:space="preserve">Ranked per category.</t>
  </si>
  <si>
    <t xml:space="preserve">Cumulative column.</t>
  </si>
  <si>
    <t xml:space="preserve">Per-customer sequence.</t>
  </si>
  <si>
    <t xml:space="preserve">prev + delta columns.</t>
  </si>
  <si>
    <t xml:space="preserve">≤2 rows per category.</t>
  </si>
  <si>
    <t xml:space="preserve">Quartiles 1–4.</t>
  </si>
  <si>
    <t xml:space="preserve">High-revenue products.</t>
  </si>
  <si>
    <t xml:space="preserve">Per-month counts.</t>
  </si>
  <si>
    <t xml:space="preserve">12 rows with levels 1–4.</t>
  </si>
  <si>
    <t xml:space="preserve">Engineering subtree (5 people).</t>
  </si>
  <si>
    <t xml:space="preserve">2023 first-timers.</t>
  </si>
  <si>
    <t xml:space="preserve">ym, total, mom_change.</t>
  </si>
  <si>
    <t xml:space="preserve">Monthly revenue.</t>
  </si>
  <si>
    <t xml:space="preserve">One row per buyer.</t>
  </si>
  <si>
    <t xml:space="preserve">Bengaluru, Mumbai, Delhi.</t>
  </si>
  <si>
    <t xml:space="preserve">At least customer 13.</t>
  </si>
  <si>
    <t xml:space="preserve">Percentages summing to 100.</t>
  </si>
  <si>
    <t xml:space="preserve">Acquisition curve.</t>
  </si>
</sst>
</file>

<file path=xl/styles.xml><?xml version="1.0" encoding="utf-8"?>
<styleSheet xmlns="http://schemas.openxmlformats.org/spreadsheetml/2006/main">
  <numFmts count="4">
    <numFmt numFmtId="164" formatCode="General"/>
    <numFmt numFmtId="165" formatCode="General"/>
    <numFmt numFmtId="166" formatCode="0%"/>
    <numFmt numFmtId="167" formatCode="0"/>
  </numFmts>
  <fonts count="19">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b val="true"/>
      <sz val="10"/>
      <color rgb="FFFFFFFF"/>
      <name val="Arial"/>
      <family val="0"/>
      <charset val="1"/>
    </font>
    <font>
      <sz val="9"/>
      <color rgb="FF111111"/>
      <name val="Arial"/>
      <family val="0"/>
      <charset val="1"/>
    </font>
    <font>
      <b val="true"/>
      <sz val="11"/>
      <name val="Cambria"/>
      <family val="0"/>
      <charset val="1"/>
    </font>
    <font>
      <i val="true"/>
      <sz val="9"/>
      <color rgb="FF666666"/>
      <name val="Arial"/>
      <family val="0"/>
      <charset val="1"/>
    </font>
    <font>
      <b val="true"/>
      <sz val="9"/>
      <name val="Arial"/>
      <family val="0"/>
      <charset val="1"/>
    </font>
    <font>
      <sz val="9"/>
      <color rgb="FF1F4E79"/>
      <name val="Consolas"/>
      <family val="0"/>
      <charset val="1"/>
    </font>
    <font>
      <sz val="10"/>
      <name val="Arial"/>
      <family val="2"/>
    </font>
    <font>
      <b val="true"/>
      <sz val="12"/>
      <color rgb="FFFFFFFF"/>
      <name val="Arial"/>
      <family val="0"/>
      <charset val="1"/>
    </font>
    <font>
      <i val="true"/>
      <sz val="8"/>
      <color rgb="FFA6A6A6"/>
      <name val="Cambria"/>
      <family val="0"/>
      <charset val="1"/>
    </font>
    <font>
      <sz val="8"/>
      <color rgb="FFBFBFBF"/>
      <name val="Cambria"/>
      <family val="0"/>
      <charset val="1"/>
    </font>
    <font>
      <b val="true"/>
      <sz val="10"/>
      <color rgb="FF1E3A5F"/>
      <name val="Arial"/>
      <family val="0"/>
      <charset val="1"/>
    </font>
    <font>
      <sz val="10"/>
      <color rgb="FF111111"/>
      <name val="Arial"/>
      <family val="0"/>
      <charset val="1"/>
    </font>
    <font>
      <sz val="9"/>
      <name val="Consolas"/>
      <family val="0"/>
      <charset val="1"/>
    </font>
    <font>
      <sz val="9"/>
      <color rgb="FF111111"/>
      <name val="Consolas"/>
      <family val="0"/>
      <charset val="1"/>
    </font>
  </fonts>
  <fills count="14">
    <fill>
      <patternFill patternType="none"/>
    </fill>
    <fill>
      <patternFill patternType="gray125"/>
    </fill>
    <fill>
      <patternFill patternType="solid">
        <fgColor rgb="FF1E3A5F"/>
        <bgColor rgb="FF1F4E79"/>
      </patternFill>
    </fill>
    <fill>
      <patternFill patternType="solid">
        <fgColor rgb="FFEFF4FB"/>
        <bgColor rgb="FFEFF9F9"/>
      </patternFill>
    </fill>
    <fill>
      <patternFill patternType="solid">
        <fgColor rgb="FFF2F9EF"/>
        <bgColor rgb="FFEFF9F9"/>
      </patternFill>
    </fill>
    <fill>
      <patternFill patternType="solid">
        <fgColor rgb="FFFFF7E8"/>
        <bgColor rgb="FFFFF9E6"/>
      </patternFill>
    </fill>
    <fill>
      <patternFill patternType="solid">
        <fgColor rgb="FFFBEFF2"/>
        <bgColor rgb="FFF3EFFB"/>
      </patternFill>
    </fill>
    <fill>
      <patternFill patternType="solid">
        <fgColor rgb="FFF3EFFB"/>
        <bgColor rgb="FFEFF4FB"/>
      </patternFill>
    </fill>
    <fill>
      <patternFill patternType="solid">
        <fgColor rgb="FFEFF9F9"/>
        <bgColor rgb="FFF2F9EF"/>
      </patternFill>
    </fill>
    <fill>
      <patternFill patternType="solid">
        <fgColor rgb="FFD6F0D2"/>
        <bgColor rgb="FFC6EFCE"/>
      </patternFill>
    </fill>
    <fill>
      <patternFill patternType="solid">
        <fgColor rgb="FFFFF2CC"/>
        <bgColor rgb="FFFFF7E8"/>
      </patternFill>
    </fill>
    <fill>
      <patternFill patternType="solid">
        <fgColor rgb="FFF8CBAD"/>
        <bgColor rgb="FFFFC7CE"/>
      </patternFill>
    </fill>
    <fill>
      <patternFill patternType="solid">
        <fgColor rgb="FFFFF9E6"/>
        <bgColor rgb="FFFFF7E8"/>
      </patternFill>
    </fill>
    <fill>
      <patternFill patternType="solid">
        <fgColor rgb="FFF7F7F7"/>
        <bgColor rgb="FFF2F9EF"/>
      </patternFill>
    </fill>
  </fills>
  <borders count="4">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 diagonalUp="false" diagonalDown="false">
      <left style="thin">
        <color rgb="FFBFBFBF"/>
      </left>
      <right/>
      <top style="thin">
        <color rgb="FFBFBFB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2"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general" vertical="bottom" textRotation="0" wrapText="false" indent="0" shrinkToFit="false"/>
      <protection locked="true" hidden="false"/>
    </xf>
    <xf numFmtId="166" fontId="0" fillId="0" borderId="1" xfId="0" applyFont="fals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general" vertical="bottom" textRotation="0" wrapText="false" indent="0" shrinkToFit="false"/>
      <protection locked="true" hidden="false"/>
    </xf>
    <xf numFmtId="164" fontId="10" fillId="5"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9" fillId="6" borderId="1" xfId="0" applyFont="true" applyBorder="true" applyAlignment="true" applyProtection="false">
      <alignment horizontal="general" vertical="bottom" textRotation="0" wrapText="false" indent="0" shrinkToFit="false"/>
      <protection locked="true" hidden="false"/>
    </xf>
    <xf numFmtId="164" fontId="10" fillId="6"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9" fillId="7" borderId="1" xfId="0" applyFont="true" applyBorder="true" applyAlignment="true" applyProtection="false">
      <alignment horizontal="general" vertical="bottom" textRotation="0" wrapText="false" indent="0" shrinkToFit="false"/>
      <protection locked="true" hidden="false"/>
    </xf>
    <xf numFmtId="164" fontId="10" fillId="7"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4" fontId="9" fillId="8" borderId="1" xfId="0" applyFont="true" applyBorder="true" applyAlignment="true" applyProtection="false">
      <alignment horizontal="general" vertical="bottom" textRotation="0" wrapText="false" indent="0" shrinkToFit="false"/>
      <protection locked="true" hidden="false"/>
    </xf>
    <xf numFmtId="164" fontId="10" fillId="8" borderId="1" xfId="0" applyFont="true" applyBorder="true" applyAlignment="true" applyProtection="false">
      <alignment horizontal="general" vertical="top" textRotation="0" wrapText="true" indent="0" shrinkToFit="false"/>
      <protection locked="true" hidden="false"/>
    </xf>
    <xf numFmtId="164" fontId="6" fillId="8"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4" fontId="0" fillId="9"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center" vertical="center" textRotation="0" wrapText="false" indent="0" shrinkToFit="false"/>
      <protection locked="true" hidden="false"/>
    </xf>
    <xf numFmtId="167" fontId="0" fillId="0" borderId="1" xfId="0" applyFont="false" applyBorder="tru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top" textRotation="0" wrapText="true" indent="0" shrinkToFit="false"/>
      <protection locked="true" hidden="false"/>
    </xf>
    <xf numFmtId="164" fontId="0" fillId="10" borderId="1" xfId="0" applyFont="true" applyBorder="true" applyAlignment="true" applyProtection="false">
      <alignment horizontal="center" vertical="center" textRotation="0" wrapText="false" indent="0" shrinkToFit="false"/>
      <protection locked="true" hidden="false"/>
    </xf>
    <xf numFmtId="164" fontId="0" fillId="11" borderId="1" xfId="0" applyFont="true" applyBorder="true" applyAlignment="true" applyProtection="false">
      <alignment horizontal="center" vertical="center" textRotation="0" wrapText="false" indent="0" shrinkToFit="false"/>
      <protection locked="true" hidden="false"/>
    </xf>
    <xf numFmtId="164" fontId="12" fillId="2" borderId="0"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5" fontId="14" fillId="0"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center" textRotation="0" wrapText="true" indent="0" shrinkToFit="false"/>
      <protection locked="true" hidden="false"/>
    </xf>
    <xf numFmtId="164" fontId="16" fillId="12" borderId="2" xfId="0" applyFont="true" applyBorder="true" applyAlignment="true" applyProtection="false">
      <alignment horizontal="center" vertical="bottom" textRotation="0" wrapText="false" indent="0" shrinkToFit="false"/>
      <protection locked="true" hidden="false"/>
    </xf>
    <xf numFmtId="164" fontId="16" fillId="12" borderId="2" xfId="0" applyFont="true" applyBorder="true" applyAlignment="true" applyProtection="false">
      <alignment horizontal="general" vertical="bottom" textRotation="0" wrapText="false" indent="0" shrinkToFit="false"/>
      <protection locked="true" hidden="false"/>
    </xf>
    <xf numFmtId="164" fontId="17" fillId="12" borderId="2" xfId="0" applyFont="true" applyBorder="true" applyAlignment="true" applyProtection="false">
      <alignment horizontal="general" vertical="top" textRotation="0" wrapText="true" indent="0" shrinkToFit="false"/>
      <protection locked="true" hidden="false"/>
    </xf>
    <xf numFmtId="164" fontId="16" fillId="3" borderId="2" xfId="0" applyFont="true" applyBorder="true" applyAlignment="true" applyProtection="false">
      <alignment horizontal="general" vertical="center" textRotation="0" wrapText="true" indent="0" shrinkToFit="false"/>
      <protection locked="true" hidden="false"/>
    </xf>
    <xf numFmtId="164" fontId="8" fillId="0" borderId="0" xfId="0" applyFont="true" applyBorder="true" applyAlignment="true" applyProtection="false">
      <alignment horizontal="general" vertical="bottom" textRotation="0" wrapText="false" indent="0" shrinkToFit="false"/>
      <protection locked="true" hidden="false"/>
    </xf>
    <xf numFmtId="164" fontId="18" fillId="13" borderId="3" xfId="0" applyFont="true" applyBorder="true" applyAlignment="true" applyProtection="false">
      <alignment horizontal="left"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E3A5F"/>
          <bgColor rgb="FF000000"/>
        </patternFill>
      </fill>
    </dxf>
    <dxf>
      <fill>
        <patternFill patternType="solid">
          <bgColor rgb="FF000000"/>
        </patternFill>
      </fill>
    </dxf>
    <dxf>
      <fill>
        <patternFill patternType="solid">
          <fgColor rgb="FF111111"/>
          <bgColor rgb="FF000000"/>
        </patternFill>
      </fill>
    </dxf>
    <dxf>
      <fill>
        <patternFill patternType="solid">
          <fgColor rgb="FFFFFFFF"/>
          <bgColor rgb="FF000000"/>
        </patternFill>
      </fill>
    </dxf>
    <dxf>
      <fill>
        <patternFill patternType="solid">
          <fgColor rgb="FFD6F0D2"/>
          <bgColor rgb="FF000000"/>
        </patternFill>
      </fill>
    </dxf>
    <dxf>
      <fill>
        <patternFill patternType="solid">
          <fgColor rgb="FFF8CBAD"/>
          <bgColor rgb="FF000000"/>
        </patternFill>
      </fill>
    </dxf>
    <dxf>
      <fill>
        <patternFill patternType="solid">
          <fgColor rgb="FFFFF2CC"/>
          <bgColor rgb="FF000000"/>
        </patternFill>
      </fill>
    </dxf>
    <dxf>
      <fill>
        <patternFill patternType="solid">
          <fgColor rgb="FF000000"/>
          <bgColor rgb="FF000000"/>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s>
  <colors>
    <indexedColors>
      <rgbColor rgb="FF000000"/>
      <rgbColor rgb="FFFFFFFF"/>
      <rgbColor rgb="FFFF0000"/>
      <rgbColor rgb="FF00FF00"/>
      <rgbColor rgb="FF0000FF"/>
      <rgbColor rgb="FFFFF2CC"/>
      <rgbColor rgb="FFFF00FF"/>
      <rgbColor rgb="FF00FFFF"/>
      <rgbColor rgb="FF9C0006"/>
      <rgbColor rgb="FF006100"/>
      <rgbColor rgb="FF000080"/>
      <rgbColor rgb="FF9C6500"/>
      <rgbColor rgb="FF800080"/>
      <rgbColor rgb="FF008080"/>
      <rgbColor rgb="FFBFBFBF"/>
      <rgbColor rgb="FF808080"/>
      <rgbColor rgb="FFF7F7F7"/>
      <rgbColor rgb="FF993366"/>
      <rgbColor rgb="FFFFF9E6"/>
      <rgbColor rgb="FFD6F0D2"/>
      <rgbColor rgb="FF660066"/>
      <rgbColor rgb="FFFF8080"/>
      <rgbColor rgb="FF0066CC"/>
      <rgbColor rgb="FFFFC7CE"/>
      <rgbColor rgb="FF000080"/>
      <rgbColor rgb="FFFF00FF"/>
      <rgbColor rgb="FFFFF7E8"/>
      <rgbColor rgb="FF00FFFF"/>
      <rgbColor rgb="FF800080"/>
      <rgbColor rgb="FF800000"/>
      <rgbColor rgb="FF008080"/>
      <rgbColor rgb="FF0000FF"/>
      <rgbColor rgb="FF00CCFF"/>
      <rgbColor rgb="FFEFF9F9"/>
      <rgbColor rgb="FFC6EFCE"/>
      <rgbColor rgb="FFFFEB9C"/>
      <rgbColor rgb="FFF3EFFB"/>
      <rgbColor rgb="FFFBEFF2"/>
      <rgbColor rgb="FFEFF4FB"/>
      <rgbColor rgb="FFF8CBAD"/>
      <rgbColor rgb="FF3366FF"/>
      <rgbColor rgb="FF33CCCC"/>
      <rgbColor rgb="FF99CC00"/>
      <rgbColor rgb="FFF2F9EF"/>
      <rgbColor rgb="FFFF9900"/>
      <rgbColor rgb="FFFF6600"/>
      <rgbColor rgb="FF666666"/>
      <rgbColor rgb="FFA6A6A6"/>
      <rgbColor rgb="FF1E3A5F"/>
      <rgbColor rgb="FF339966"/>
      <rgbColor rgb="FF111111"/>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3" min="2" style="1" width="8"/>
    <col collapsed="false" customWidth="true" hidden="false" outlineLevel="0" max="4" min="4" style="1" width="9"/>
    <col collapsed="false" customWidth="true" hidden="false" outlineLevel="0" max="5" min="5" style="1" width="8"/>
    <col collapsed="false" customWidth="true" hidden="false" outlineLevel="0" max="7" min="6" style="1" width="9"/>
  </cols>
  <sheetData>
    <row r="1" customFormat="false" ht="27.75" hidden="false" customHeight="true" outlineLevel="0" collapsed="false">
      <c r="A1" s="2" t="s">
        <v>0</v>
      </c>
      <c r="B1" s="2"/>
      <c r="C1" s="2"/>
      <c r="D1" s="2"/>
      <c r="E1" s="2"/>
      <c r="F1" s="2"/>
      <c r="G1" s="2"/>
    </row>
    <row r="2" customFormat="false" ht="15" hidden="false" customHeight="true" outlineLevel="0" collapsed="false">
      <c r="A2" s="3" t="s">
        <v>1</v>
      </c>
      <c r="B2" s="3" t="s">
        <v>2</v>
      </c>
      <c r="C2" s="3" t="s">
        <v>3</v>
      </c>
      <c r="D2" s="3" t="s">
        <v>4</v>
      </c>
      <c r="E2" s="3" t="s">
        <v>5</v>
      </c>
      <c r="F2" s="3" t="s">
        <v>6</v>
      </c>
      <c r="G2" s="3" t="s">
        <v>7</v>
      </c>
    </row>
    <row r="3" customFormat="false" ht="15" hidden="false" customHeight="true" outlineLevel="0" collapsed="false">
      <c r="A3" s="4" t="s">
        <v>8</v>
      </c>
      <c r="B3" s="5" t="n">
        <f aca="false">COUNTIF('🧩 Practice Queries'!$B$3:$B$56,A3)</f>
        <v>6</v>
      </c>
      <c r="C3" s="5" t="n">
        <f aca="false">COUNTIFS('🧩 Practice Queries'!$B$3:$B$56,A3,'🧩 Practice Queries'!$C$3:$C$56,"Easy")</f>
        <v>4</v>
      </c>
      <c r="D3" s="5" t="n">
        <f aca="false">COUNTIFS('🧩 Practice Queries'!$B$3:$B$56,A3,'🧩 Practice Queries'!$C$3:$C$56,"Medium")</f>
        <v>2</v>
      </c>
      <c r="E3" s="5" t="n">
        <f aca="false">COUNTIFS('🧩 Practice Queries'!$B$3:$B$56,A3,'🧩 Practice Queries'!$C$3:$C$56,"Hard")</f>
        <v>0</v>
      </c>
      <c r="F3" s="5" t="n">
        <f aca="false">COUNTIFS('🧩 Practice Queries'!$B$3:$B$56,A3,'🧩 Practice Queries'!$F$3:$F$56,"✅ Done")</f>
        <v>0</v>
      </c>
      <c r="G3" s="6" t="n">
        <f aca="false">IF(B3=0,0,F3/B3)</f>
        <v>0</v>
      </c>
    </row>
    <row r="4" customFormat="false" ht="15" hidden="false" customHeight="true" outlineLevel="0" collapsed="false">
      <c r="A4" s="4" t="s">
        <v>9</v>
      </c>
      <c r="B4" s="5" t="n">
        <f aca="false">COUNTIF('🧩 Practice Queries'!$B$3:$B$56,A4)</f>
        <v>6</v>
      </c>
      <c r="C4" s="5" t="n">
        <f aca="false">COUNTIFS('🧩 Practice Queries'!$B$3:$B$56,A4,'🧩 Practice Queries'!$C$3:$C$56,"Easy")</f>
        <v>3</v>
      </c>
      <c r="D4" s="5" t="n">
        <f aca="false">COUNTIFS('🧩 Practice Queries'!$B$3:$B$56,A4,'🧩 Practice Queries'!$C$3:$C$56,"Medium")</f>
        <v>3</v>
      </c>
      <c r="E4" s="5" t="n">
        <f aca="false">COUNTIFS('🧩 Practice Queries'!$B$3:$B$56,A4,'🧩 Practice Queries'!$C$3:$C$56,"Hard")</f>
        <v>0</v>
      </c>
      <c r="F4" s="5" t="n">
        <f aca="false">COUNTIFS('🧩 Practice Queries'!$B$3:$B$56,A4,'🧩 Practice Queries'!$F$3:$F$56,"✅ Done")</f>
        <v>0</v>
      </c>
      <c r="G4" s="6" t="n">
        <f aca="false">IF(B4=0,0,F4/B4)</f>
        <v>0</v>
      </c>
    </row>
    <row r="5" customFormat="false" ht="15" hidden="false" customHeight="true" outlineLevel="0" collapsed="false">
      <c r="A5" s="4" t="s">
        <v>10</v>
      </c>
      <c r="B5" s="5" t="n">
        <f aca="false">COUNTIF('🧩 Practice Queries'!$B$3:$B$56,A5)</f>
        <v>6</v>
      </c>
      <c r="C5" s="5" t="n">
        <f aca="false">COUNTIFS('🧩 Practice Queries'!$B$3:$B$56,A5,'🧩 Practice Queries'!$C$3:$C$56,"Easy")</f>
        <v>2</v>
      </c>
      <c r="D5" s="5" t="n">
        <f aca="false">COUNTIFS('🧩 Practice Queries'!$B$3:$B$56,A5,'🧩 Practice Queries'!$C$3:$C$56,"Medium")</f>
        <v>3</v>
      </c>
      <c r="E5" s="5" t="n">
        <f aca="false">COUNTIFS('🧩 Practice Queries'!$B$3:$B$56,A5,'🧩 Practice Queries'!$C$3:$C$56,"Hard")</f>
        <v>1</v>
      </c>
      <c r="F5" s="5" t="n">
        <f aca="false">COUNTIFS('🧩 Practice Queries'!$B$3:$B$56,A5,'🧩 Practice Queries'!$F$3:$F$56,"✅ Done")</f>
        <v>0</v>
      </c>
      <c r="G5" s="6" t="n">
        <f aca="false">IF(B5=0,0,F5/B5)</f>
        <v>0</v>
      </c>
    </row>
    <row r="6" customFormat="false" ht="15" hidden="false" customHeight="true" outlineLevel="0" collapsed="false">
      <c r="A6" s="4" t="s">
        <v>11</v>
      </c>
      <c r="B6" s="5" t="n">
        <f aca="false">COUNTIF('🧩 Practice Queries'!$B$3:$B$56,A6)</f>
        <v>6</v>
      </c>
      <c r="C6" s="5" t="n">
        <f aca="false">COUNTIFS('🧩 Practice Queries'!$B$3:$B$56,A6,'🧩 Practice Queries'!$C$3:$C$56,"Easy")</f>
        <v>1</v>
      </c>
      <c r="D6" s="5" t="n">
        <f aca="false">COUNTIFS('🧩 Practice Queries'!$B$3:$B$56,A6,'🧩 Practice Queries'!$C$3:$C$56,"Medium")</f>
        <v>3</v>
      </c>
      <c r="E6" s="5" t="n">
        <f aca="false">COUNTIFS('🧩 Practice Queries'!$B$3:$B$56,A6,'🧩 Practice Queries'!$C$3:$C$56,"Hard")</f>
        <v>2</v>
      </c>
      <c r="F6" s="5" t="n">
        <f aca="false">COUNTIFS('🧩 Practice Queries'!$B$3:$B$56,A6,'🧩 Practice Queries'!$F$3:$F$56,"✅ Done")</f>
        <v>0</v>
      </c>
      <c r="G6" s="6" t="n">
        <f aca="false">IF(B6=0,0,F6/B6)</f>
        <v>0</v>
      </c>
    </row>
    <row r="7" customFormat="false" ht="15" hidden="false" customHeight="true" outlineLevel="0" collapsed="false">
      <c r="A7" s="4" t="s">
        <v>12</v>
      </c>
      <c r="B7" s="5" t="n">
        <f aca="false">COUNTIF('🧩 Practice Queries'!$B$3:$B$56,A7)</f>
        <v>6</v>
      </c>
      <c r="C7" s="5" t="n">
        <f aca="false">COUNTIFS('🧩 Practice Queries'!$B$3:$B$56,A7,'🧩 Practice Queries'!$C$3:$C$56,"Easy")</f>
        <v>0</v>
      </c>
      <c r="D7" s="5" t="n">
        <f aca="false">COUNTIFS('🧩 Practice Queries'!$B$3:$B$56,A7,'🧩 Practice Queries'!$C$3:$C$56,"Medium")</f>
        <v>3</v>
      </c>
      <c r="E7" s="5" t="n">
        <f aca="false">COUNTIFS('🧩 Practice Queries'!$B$3:$B$56,A7,'🧩 Practice Queries'!$C$3:$C$56,"Hard")</f>
        <v>3</v>
      </c>
      <c r="F7" s="5" t="n">
        <f aca="false">COUNTIFS('🧩 Practice Queries'!$B$3:$B$56,A7,'🧩 Practice Queries'!$F$3:$F$56,"✅ Done")</f>
        <v>0</v>
      </c>
      <c r="G7" s="6" t="n">
        <f aca="false">IF(B7=0,0,F7/B7)</f>
        <v>0</v>
      </c>
    </row>
    <row r="8" customFormat="false" ht="15" hidden="false" customHeight="true" outlineLevel="0" collapsed="false">
      <c r="A8" s="4" t="s">
        <v>13</v>
      </c>
      <c r="B8" s="5" t="n">
        <f aca="false">COUNTIF('🧩 Practice Queries'!$B$3:$B$56,A8)</f>
        <v>6</v>
      </c>
      <c r="C8" s="5" t="n">
        <f aca="false">COUNTIFS('🧩 Practice Queries'!$B$3:$B$56,A8,'🧩 Practice Queries'!$C$3:$C$56,"Easy")</f>
        <v>1</v>
      </c>
      <c r="D8" s="5" t="n">
        <f aca="false">COUNTIFS('🧩 Practice Queries'!$B$3:$B$56,A8,'🧩 Practice Queries'!$C$3:$C$56,"Medium")</f>
        <v>4</v>
      </c>
      <c r="E8" s="5" t="n">
        <f aca="false">COUNTIFS('🧩 Practice Queries'!$B$3:$B$56,A8,'🧩 Practice Queries'!$C$3:$C$56,"Hard")</f>
        <v>1</v>
      </c>
      <c r="F8" s="5" t="n">
        <f aca="false">COUNTIFS('🧩 Practice Queries'!$B$3:$B$56,A8,'🧩 Practice Queries'!$F$3:$F$56,"✅ Done")</f>
        <v>0</v>
      </c>
      <c r="G8" s="6" t="n">
        <f aca="false">IF(B8=0,0,F8/B8)</f>
        <v>0</v>
      </c>
    </row>
    <row r="9" customFormat="false" ht="15" hidden="false" customHeight="true" outlineLevel="0" collapsed="false">
      <c r="A9" s="4" t="s">
        <v>14</v>
      </c>
      <c r="B9" s="5" t="n">
        <f aca="false">COUNTIF('🧩 Practice Queries'!$B$3:$B$56,A9)</f>
        <v>6</v>
      </c>
      <c r="C9" s="5" t="n">
        <f aca="false">COUNTIFS('🧩 Practice Queries'!$B$3:$B$56,A9,'🧩 Practice Queries'!$C$3:$C$56,"Easy")</f>
        <v>0</v>
      </c>
      <c r="D9" s="5" t="n">
        <f aca="false">COUNTIFS('🧩 Practice Queries'!$B$3:$B$56,A9,'🧩 Practice Queries'!$C$3:$C$56,"Medium")</f>
        <v>3</v>
      </c>
      <c r="E9" s="5" t="n">
        <f aca="false">COUNTIFS('🧩 Practice Queries'!$B$3:$B$56,A9,'🧩 Practice Queries'!$C$3:$C$56,"Hard")</f>
        <v>3</v>
      </c>
      <c r="F9" s="5" t="n">
        <f aca="false">COUNTIFS('🧩 Practice Queries'!$B$3:$B$56,A9,'🧩 Practice Queries'!$F$3:$F$56,"✅ Done")</f>
        <v>0</v>
      </c>
      <c r="G9" s="6" t="n">
        <f aca="false">IF(B9=0,0,F9/B9)</f>
        <v>0</v>
      </c>
    </row>
    <row r="10" customFormat="false" ht="15" hidden="false" customHeight="true" outlineLevel="0" collapsed="false">
      <c r="A10" s="4" t="s">
        <v>15</v>
      </c>
      <c r="B10" s="5" t="n">
        <f aca="false">COUNTIF('🧩 Practice Queries'!$B$3:$B$56,A10)</f>
        <v>6</v>
      </c>
      <c r="C10" s="5" t="n">
        <f aca="false">COUNTIFS('🧩 Practice Queries'!$B$3:$B$56,A10,'🧩 Practice Queries'!$C$3:$C$56,"Easy")</f>
        <v>0</v>
      </c>
      <c r="D10" s="5" t="n">
        <f aca="false">COUNTIFS('🧩 Practice Queries'!$B$3:$B$56,A10,'🧩 Practice Queries'!$C$3:$C$56,"Medium")</f>
        <v>3</v>
      </c>
      <c r="E10" s="5" t="n">
        <f aca="false">COUNTIFS('🧩 Practice Queries'!$B$3:$B$56,A10,'🧩 Practice Queries'!$C$3:$C$56,"Hard")</f>
        <v>3</v>
      </c>
      <c r="F10" s="5" t="n">
        <f aca="false">COUNTIFS('🧩 Practice Queries'!$B$3:$B$56,A10,'🧩 Practice Queries'!$F$3:$F$56,"✅ Done")</f>
        <v>0</v>
      </c>
      <c r="G10" s="6" t="n">
        <f aca="false">IF(B10=0,0,F10/B10)</f>
        <v>0</v>
      </c>
    </row>
    <row r="11" customFormat="false" ht="15" hidden="false" customHeight="true" outlineLevel="0" collapsed="false">
      <c r="A11" s="4" t="s">
        <v>16</v>
      </c>
      <c r="B11" s="5" t="n">
        <f aca="false">COUNTIF('🧩 Practice Queries'!$B$3:$B$56,A11)</f>
        <v>6</v>
      </c>
      <c r="C11" s="5" t="n">
        <f aca="false">COUNTIFS('🧩 Practice Queries'!$B$3:$B$56,A11,'🧩 Practice Queries'!$C$3:$C$56,"Easy")</f>
        <v>0</v>
      </c>
      <c r="D11" s="5" t="n">
        <f aca="false">COUNTIFS('🧩 Practice Queries'!$B$3:$B$56,A11,'🧩 Practice Queries'!$C$3:$C$56,"Medium")</f>
        <v>2</v>
      </c>
      <c r="E11" s="5" t="n">
        <f aca="false">COUNTIFS('🧩 Practice Queries'!$B$3:$B$56,A11,'🧩 Practice Queries'!$C$3:$C$56,"Hard")</f>
        <v>4</v>
      </c>
      <c r="F11" s="5" t="n">
        <f aca="false">COUNTIFS('🧩 Practice Queries'!$B$3:$B$56,A11,'🧩 Practice Queries'!$F$3:$F$56,"✅ Done")</f>
        <v>0</v>
      </c>
      <c r="G11" s="6" t="n">
        <f aca="false">IF(B11=0,0,F11/B11)</f>
        <v>0</v>
      </c>
    </row>
    <row r="12" customFormat="false" ht="15" hidden="false" customHeight="true" outlineLevel="0" collapsed="false">
      <c r="A12" s="7" t="s">
        <v>17</v>
      </c>
      <c r="B12" s="7" t="n">
        <f aca="false">SUM(B3:B11)</f>
        <v>54</v>
      </c>
      <c r="C12" s="7" t="n">
        <f aca="false">SUM(C3:C11)</f>
        <v>11</v>
      </c>
      <c r="D12" s="7" t="n">
        <f aca="false">SUM(D3:D11)</f>
        <v>26</v>
      </c>
      <c r="E12" s="7" t="n">
        <f aca="false">SUM(E3:E11)</f>
        <v>17</v>
      </c>
      <c r="F12" s="7" t="n">
        <f aca="false">SUM(F3:F11)</f>
        <v>0</v>
      </c>
      <c r="G12" s="8" t="n">
        <f aca="false">IF(B12=0,0,F12/B12)</f>
        <v>0</v>
      </c>
    </row>
    <row r="14" customFormat="false" ht="15" hidden="false" customHeight="true" outlineLevel="0" collapsed="false">
      <c r="A14" s="9" t="s">
        <v>18</v>
      </c>
    </row>
  </sheetData>
  <mergeCells count="1">
    <mergeCell ref="A1:G1"/>
  </mergeCells>
  <conditionalFormatting sqref="G3:G11">
    <cfRule type="dataBar" priority="2">
      <dataBar showValue="1" minLength="10" maxLength="90">
        <cfvo type="num" val="0"/>
        <cfvo type="num" val="1"/>
        <color rgb="FF63BE7B"/>
      </dataBar>
      <extLst>
        <ext xmlns:x14="http://schemas.microsoft.com/office/spreadsheetml/2009/9/main" uri="{B025F937-C7B1-47D3-B67F-A62EFF666E3E}">
          <x14:id>{A2B252F6-8D4D-401D-8A37-CC6862D0D8FA}</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A2B252F6-8D4D-401D-8A37-CC6862D0D8FA}">
            <x14:dataBar minLength="10" maxLength="90" axisPosition="none" gradient="true">
              <x14:cfvo type="num">
                <xm:f>0</xm:f>
              </x14:cfvo>
              <x14:cfvo type="num">
                <xm:f>1</xm:f>
              </x14:cfvo>
              <x14:negativeFillColor rgb="FF63BE7B"/>
              <x14:axisColor rgb="FF000000"/>
            </x14:dataBar>
          </x14:cfRule>
          <xm:sqref>G3:G11</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16"/>
    <col collapsed="false" customWidth="true" hidden="false" outlineLevel="0" max="3" min="3" style="1" width="14"/>
    <col collapsed="false" customWidth="true" hidden="false" outlineLevel="0" max="4" min="4" style="1" width="52"/>
    <col collapsed="false" customWidth="true" hidden="false" outlineLevel="0" max="5" min="5" style="1" width="4"/>
  </cols>
  <sheetData>
    <row r="1" customFormat="false" ht="27.75" hidden="false" customHeight="true" outlineLevel="0" collapsed="false">
      <c r="A1" s="2" t="s">
        <v>19</v>
      </c>
      <c r="B1" s="2"/>
      <c r="C1" s="2"/>
      <c r="D1" s="2"/>
      <c r="E1" s="2"/>
    </row>
    <row r="2" customFormat="false" ht="15" hidden="false" customHeight="true" outlineLevel="0" collapsed="false">
      <c r="A2" s="3" t="s">
        <v>20</v>
      </c>
      <c r="B2" s="3" t="s">
        <v>21</v>
      </c>
      <c r="C2" s="3" t="s">
        <v>22</v>
      </c>
      <c r="D2" s="3" t="s">
        <v>23</v>
      </c>
      <c r="E2" s="3"/>
    </row>
    <row r="3" customFormat="false" ht="15" hidden="false" customHeight="true" outlineLevel="0" collapsed="false">
      <c r="A3" s="10" t="s">
        <v>24</v>
      </c>
      <c r="B3" s="11" t="s">
        <v>25</v>
      </c>
      <c r="C3" s="12" t="s">
        <v>26</v>
      </c>
      <c r="D3" s="12" t="s">
        <v>27</v>
      </c>
    </row>
    <row r="4" customFormat="false" ht="15" hidden="false" customHeight="true" outlineLevel="0" collapsed="false">
      <c r="A4" s="10"/>
      <c r="B4" s="11" t="s">
        <v>28</v>
      </c>
      <c r="C4" s="12" t="s">
        <v>29</v>
      </c>
      <c r="D4" s="12" t="s">
        <v>30</v>
      </c>
    </row>
    <row r="5" customFormat="false" ht="15" hidden="false" customHeight="true" outlineLevel="0" collapsed="false">
      <c r="A5" s="10"/>
      <c r="B5" s="11" t="s">
        <v>31</v>
      </c>
      <c r="C5" s="12" t="s">
        <v>29</v>
      </c>
      <c r="D5" s="12"/>
    </row>
    <row r="6" customFormat="false" ht="15" hidden="false" customHeight="true" outlineLevel="0" collapsed="false">
      <c r="A6" s="10"/>
      <c r="B6" s="11" t="s">
        <v>32</v>
      </c>
      <c r="C6" s="12" t="s">
        <v>33</v>
      </c>
      <c r="D6" s="12" t="s">
        <v>34</v>
      </c>
    </row>
    <row r="7" customFormat="false" ht="15" hidden="false" customHeight="true" outlineLevel="0" collapsed="false">
      <c r="A7" s="10"/>
      <c r="B7" s="11" t="s">
        <v>35</v>
      </c>
      <c r="C7" s="12" t="s">
        <v>26</v>
      </c>
      <c r="D7" s="12" t="s">
        <v>36</v>
      </c>
    </row>
    <row r="8" customFormat="false" ht="15" hidden="false" customHeight="true" outlineLevel="0" collapsed="false">
      <c r="A8" s="10"/>
      <c r="B8" s="11" t="s">
        <v>37</v>
      </c>
      <c r="C8" s="12" t="s">
        <v>38</v>
      </c>
      <c r="D8" s="12"/>
    </row>
    <row r="9" customFormat="false" ht="15" hidden="false" customHeight="true" outlineLevel="0" collapsed="false">
      <c r="A9" s="10"/>
      <c r="B9" s="11" t="s">
        <v>39</v>
      </c>
      <c r="C9" s="12" t="s">
        <v>26</v>
      </c>
      <c r="D9" s="12"/>
    </row>
    <row r="10" customFormat="false" ht="15" hidden="false" customHeight="true" outlineLevel="0" collapsed="false">
      <c r="A10" s="13" t="s">
        <v>40</v>
      </c>
      <c r="B10" s="14" t="s">
        <v>41</v>
      </c>
      <c r="C10" s="15" t="s">
        <v>26</v>
      </c>
      <c r="D10" s="15" t="s">
        <v>27</v>
      </c>
    </row>
    <row r="11" customFormat="false" ht="15" hidden="false" customHeight="true" outlineLevel="0" collapsed="false">
      <c r="A11" s="13"/>
      <c r="B11" s="14" t="s">
        <v>28</v>
      </c>
      <c r="C11" s="15" t="s">
        <v>29</v>
      </c>
      <c r="D11" s="15" t="s">
        <v>30</v>
      </c>
    </row>
    <row r="12" customFormat="false" ht="15" hidden="false" customHeight="true" outlineLevel="0" collapsed="false">
      <c r="A12" s="13"/>
      <c r="B12" s="14" t="s">
        <v>42</v>
      </c>
      <c r="C12" s="15" t="s">
        <v>43</v>
      </c>
      <c r="D12" s="15"/>
    </row>
    <row r="13" customFormat="false" ht="15" hidden="false" customHeight="true" outlineLevel="0" collapsed="false">
      <c r="A13" s="13"/>
      <c r="B13" s="14" t="s">
        <v>44</v>
      </c>
      <c r="C13" s="15" t="s">
        <v>33</v>
      </c>
      <c r="D13" s="15" t="s">
        <v>45</v>
      </c>
    </row>
    <row r="14" customFormat="false" ht="15" hidden="false" customHeight="true" outlineLevel="0" collapsed="false">
      <c r="A14" s="13"/>
      <c r="B14" s="14" t="s">
        <v>46</v>
      </c>
      <c r="C14" s="15" t="s">
        <v>33</v>
      </c>
      <c r="D14" s="15" t="s">
        <v>47</v>
      </c>
    </row>
    <row r="15" customFormat="false" ht="15" hidden="false" customHeight="true" outlineLevel="0" collapsed="false">
      <c r="A15" s="13"/>
      <c r="B15" s="14" t="s">
        <v>48</v>
      </c>
      <c r="C15" s="15" t="s">
        <v>49</v>
      </c>
      <c r="D15" s="15" t="s">
        <v>50</v>
      </c>
    </row>
    <row r="16" customFormat="false" ht="15" hidden="false" customHeight="true" outlineLevel="0" collapsed="false">
      <c r="A16" s="13"/>
      <c r="B16" s="14" t="s">
        <v>51</v>
      </c>
      <c r="C16" s="15" t="s">
        <v>38</v>
      </c>
      <c r="D16" s="15" t="s">
        <v>52</v>
      </c>
    </row>
    <row r="17" customFormat="false" ht="15" hidden="false" customHeight="true" outlineLevel="0" collapsed="false">
      <c r="A17" s="16" t="s">
        <v>53</v>
      </c>
      <c r="B17" s="17" t="s">
        <v>54</v>
      </c>
      <c r="C17" s="18" t="s">
        <v>26</v>
      </c>
      <c r="D17" s="18" t="s">
        <v>27</v>
      </c>
    </row>
    <row r="18" customFormat="false" ht="15" hidden="false" customHeight="true" outlineLevel="0" collapsed="false">
      <c r="A18" s="16"/>
      <c r="B18" s="17" t="s">
        <v>28</v>
      </c>
      <c r="C18" s="18" t="s">
        <v>29</v>
      </c>
      <c r="D18" s="18" t="s">
        <v>30</v>
      </c>
    </row>
    <row r="19" customFormat="false" ht="15" hidden="false" customHeight="true" outlineLevel="0" collapsed="false">
      <c r="A19" s="16"/>
      <c r="B19" s="17" t="s">
        <v>55</v>
      </c>
      <c r="C19" s="18" t="s">
        <v>33</v>
      </c>
      <c r="D19" s="18" t="s">
        <v>56</v>
      </c>
    </row>
    <row r="20" customFormat="false" ht="15" hidden="false" customHeight="true" outlineLevel="0" collapsed="false">
      <c r="A20" s="16"/>
      <c r="B20" s="17" t="s">
        <v>57</v>
      </c>
      <c r="C20" s="18" t="s">
        <v>58</v>
      </c>
      <c r="D20" s="18"/>
    </row>
    <row r="21" customFormat="false" ht="15" hidden="false" customHeight="true" outlineLevel="0" collapsed="false">
      <c r="A21" s="16"/>
      <c r="B21" s="17" t="s">
        <v>59</v>
      </c>
      <c r="C21" s="18" t="s">
        <v>58</v>
      </c>
      <c r="D21" s="18" t="s">
        <v>60</v>
      </c>
    </row>
    <row r="22" customFormat="false" ht="15" hidden="false" customHeight="true" outlineLevel="0" collapsed="false">
      <c r="A22" s="19" t="s">
        <v>61</v>
      </c>
      <c r="B22" s="20" t="s">
        <v>62</v>
      </c>
      <c r="C22" s="21" t="s">
        <v>26</v>
      </c>
      <c r="D22" s="21" t="s">
        <v>27</v>
      </c>
    </row>
    <row r="23" customFormat="false" ht="15" hidden="false" customHeight="true" outlineLevel="0" collapsed="false">
      <c r="A23" s="19"/>
      <c r="B23" s="20" t="s">
        <v>41</v>
      </c>
      <c r="C23" s="21" t="s">
        <v>26</v>
      </c>
      <c r="D23" s="21" t="s">
        <v>63</v>
      </c>
    </row>
    <row r="24" customFormat="false" ht="15" hidden="false" customHeight="true" outlineLevel="0" collapsed="false">
      <c r="A24" s="19"/>
      <c r="B24" s="20" t="s">
        <v>64</v>
      </c>
      <c r="C24" s="21" t="s">
        <v>38</v>
      </c>
      <c r="D24" s="21" t="s">
        <v>65</v>
      </c>
    </row>
    <row r="25" customFormat="false" ht="15" hidden="false" customHeight="true" outlineLevel="0" collapsed="false">
      <c r="A25" s="19"/>
      <c r="B25" s="20" t="s">
        <v>66</v>
      </c>
      <c r="C25" s="21" t="s">
        <v>49</v>
      </c>
      <c r="D25" s="21" t="s">
        <v>67</v>
      </c>
    </row>
    <row r="26" customFormat="false" ht="15" hidden="false" customHeight="true" outlineLevel="0" collapsed="false">
      <c r="A26" s="19"/>
      <c r="B26" s="20" t="s">
        <v>68</v>
      </c>
      <c r="C26" s="21" t="s">
        <v>69</v>
      </c>
      <c r="D26" s="21" t="s">
        <v>70</v>
      </c>
    </row>
    <row r="27" customFormat="false" ht="15" hidden="false" customHeight="true" outlineLevel="0" collapsed="false">
      <c r="A27" s="22" t="s">
        <v>71</v>
      </c>
      <c r="B27" s="23" t="s">
        <v>72</v>
      </c>
      <c r="C27" s="24" t="s">
        <v>26</v>
      </c>
      <c r="D27" s="24" t="s">
        <v>27</v>
      </c>
    </row>
    <row r="28" customFormat="false" ht="15" hidden="false" customHeight="true" outlineLevel="0" collapsed="false">
      <c r="A28" s="22"/>
      <c r="B28" s="23" t="s">
        <v>62</v>
      </c>
      <c r="C28" s="24" t="s">
        <v>26</v>
      </c>
      <c r="D28" s="24" t="s">
        <v>73</v>
      </c>
    </row>
    <row r="29" customFormat="false" ht="15" hidden="false" customHeight="true" outlineLevel="0" collapsed="false">
      <c r="A29" s="22"/>
      <c r="B29" s="23" t="s">
        <v>54</v>
      </c>
      <c r="C29" s="24" t="s">
        <v>26</v>
      </c>
      <c r="D29" s="24" t="s">
        <v>74</v>
      </c>
    </row>
    <row r="30" customFormat="false" ht="15" hidden="false" customHeight="true" outlineLevel="0" collapsed="false">
      <c r="A30" s="22"/>
      <c r="B30" s="23" t="s">
        <v>75</v>
      </c>
      <c r="C30" s="24" t="s">
        <v>26</v>
      </c>
      <c r="D30" s="24" t="s">
        <v>76</v>
      </c>
    </row>
    <row r="31" customFormat="false" ht="15" hidden="false" customHeight="true" outlineLevel="0" collapsed="false">
      <c r="A31" s="22"/>
      <c r="B31" s="23" t="s">
        <v>77</v>
      </c>
      <c r="C31" s="24" t="s">
        <v>58</v>
      </c>
      <c r="D31" s="24" t="s">
        <v>78</v>
      </c>
    </row>
    <row r="32" customFormat="false" ht="15" hidden="false" customHeight="true" outlineLevel="0" collapsed="false">
      <c r="A32" s="25" t="s">
        <v>79</v>
      </c>
      <c r="B32" s="26" t="s">
        <v>80</v>
      </c>
      <c r="C32" s="27" t="s">
        <v>26</v>
      </c>
      <c r="D32" s="27" t="s">
        <v>27</v>
      </c>
    </row>
    <row r="33" customFormat="false" ht="15" hidden="false" customHeight="true" outlineLevel="0" collapsed="false">
      <c r="A33" s="25"/>
      <c r="B33" s="26" t="s">
        <v>62</v>
      </c>
      <c r="C33" s="27" t="s">
        <v>26</v>
      </c>
      <c r="D33" s="27" t="s">
        <v>81</v>
      </c>
    </row>
    <row r="34" customFormat="false" ht="15" hidden="false" customHeight="true" outlineLevel="0" collapsed="false">
      <c r="A34" s="25"/>
      <c r="B34" s="26" t="s">
        <v>82</v>
      </c>
      <c r="C34" s="27" t="s">
        <v>83</v>
      </c>
      <c r="D34" s="27" t="s">
        <v>84</v>
      </c>
    </row>
    <row r="35" customFormat="false" ht="15" hidden="false" customHeight="true" outlineLevel="0" collapsed="false">
      <c r="A35" s="25"/>
      <c r="B35" s="26" t="s">
        <v>85</v>
      </c>
      <c r="C35" s="27" t="s">
        <v>38</v>
      </c>
      <c r="D35" s="27"/>
    </row>
    <row r="36" customFormat="false" ht="15" hidden="false" customHeight="true" outlineLevel="0" collapsed="false">
      <c r="A36" s="25"/>
      <c r="B36" s="26" t="s">
        <v>86</v>
      </c>
      <c r="C36" s="27" t="s">
        <v>49</v>
      </c>
      <c r="D36" s="27" t="s">
        <v>87</v>
      </c>
    </row>
    <row r="37" customFormat="false" ht="21.75" hidden="false" customHeight="true" outlineLevel="0" collapsed="false">
      <c r="A37" s="25"/>
      <c r="B37" s="26" t="s">
        <v>66</v>
      </c>
      <c r="C37" s="27" t="s">
        <v>49</v>
      </c>
      <c r="D37" s="27" t="s">
        <v>88</v>
      </c>
    </row>
    <row r="39" customFormat="false" ht="15" hidden="false" customHeight="true" outlineLevel="0" collapsed="false">
      <c r="A39" s="9" t="s">
        <v>89</v>
      </c>
    </row>
    <row r="40" customFormat="false" ht="25.5" hidden="false" customHeight="true" outlineLevel="0" collapsed="false">
      <c r="A40" s="28" t="s">
        <v>90</v>
      </c>
      <c r="B40" s="28"/>
      <c r="C40" s="28"/>
      <c r="D40" s="28"/>
      <c r="E40" s="28"/>
    </row>
  </sheetData>
  <mergeCells count="2">
    <mergeCell ref="A1:E1"/>
    <mergeCell ref="A40:E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0"/>
    <col collapsed="false" customWidth="true" hidden="false" outlineLevel="0" max="3" min="3" style="1" width="9"/>
    <col collapsed="false" customWidth="true" hidden="false" outlineLevel="0" max="4" min="4" style="1" width="64"/>
    <col collapsed="false" customWidth="true" hidden="false" outlineLevel="0" max="5" min="5" style="1" width="10"/>
    <col collapsed="false" customWidth="true" hidden="false" outlineLevel="0" max="6" min="6" style="1" width="13"/>
    <col collapsed="false" customWidth="true" hidden="false" outlineLevel="0" max="7" min="7" style="1" width="9"/>
    <col collapsed="false" customWidth="true" hidden="false" outlineLevel="0" max="8" min="8" style="1" width="28"/>
  </cols>
  <sheetData>
    <row r="1" customFormat="false" ht="27.75" hidden="false" customHeight="true" outlineLevel="0" collapsed="false">
      <c r="A1" s="2" t="s">
        <v>91</v>
      </c>
      <c r="B1" s="2"/>
      <c r="C1" s="2"/>
      <c r="D1" s="2"/>
      <c r="E1" s="2"/>
      <c r="F1" s="2"/>
      <c r="G1" s="2"/>
      <c r="H1" s="2"/>
    </row>
    <row r="2" customFormat="false" ht="15" hidden="false" customHeight="true" outlineLevel="0" collapsed="false">
      <c r="A2" s="3" t="s">
        <v>92</v>
      </c>
      <c r="B2" s="3" t="s">
        <v>1</v>
      </c>
      <c r="C2" s="3" t="s">
        <v>93</v>
      </c>
      <c r="D2" s="3" t="s">
        <v>94</v>
      </c>
      <c r="E2" s="3" t="s">
        <v>95</v>
      </c>
      <c r="F2" s="3" t="s">
        <v>96</v>
      </c>
      <c r="G2" s="3" t="s">
        <v>97</v>
      </c>
      <c r="H2" s="3" t="s">
        <v>98</v>
      </c>
    </row>
    <row r="3" customFormat="false" ht="15" hidden="false" customHeight="true" outlineLevel="0" collapsed="false">
      <c r="A3" s="29" t="n">
        <v>1</v>
      </c>
      <c r="B3" s="4" t="s">
        <v>8</v>
      </c>
      <c r="C3" s="30" t="s">
        <v>3</v>
      </c>
      <c r="D3" s="31" t="s">
        <v>99</v>
      </c>
      <c r="E3" s="32" t="s">
        <v>100</v>
      </c>
      <c r="F3" s="32" t="s">
        <v>101</v>
      </c>
      <c r="G3" s="33"/>
      <c r="H3" s="34"/>
    </row>
    <row r="4" customFormat="false" ht="15" hidden="false" customHeight="true" outlineLevel="0" collapsed="false">
      <c r="A4" s="29" t="n">
        <v>2</v>
      </c>
      <c r="B4" s="4" t="s">
        <v>8</v>
      </c>
      <c r="C4" s="30" t="s">
        <v>3</v>
      </c>
      <c r="D4" s="31" t="s">
        <v>102</v>
      </c>
      <c r="E4" s="32" t="s">
        <v>100</v>
      </c>
      <c r="F4" s="32" t="s">
        <v>101</v>
      </c>
      <c r="G4" s="33"/>
      <c r="H4" s="34"/>
    </row>
    <row r="5" customFormat="false" ht="15" hidden="false" customHeight="true" outlineLevel="0" collapsed="false">
      <c r="A5" s="29" t="n">
        <v>3</v>
      </c>
      <c r="B5" s="4" t="s">
        <v>8</v>
      </c>
      <c r="C5" s="30" t="s">
        <v>3</v>
      </c>
      <c r="D5" s="31" t="s">
        <v>103</v>
      </c>
      <c r="E5" s="32" t="s">
        <v>100</v>
      </c>
      <c r="F5" s="32" t="s">
        <v>101</v>
      </c>
      <c r="G5" s="33"/>
      <c r="H5" s="34"/>
    </row>
    <row r="6" customFormat="false" ht="15" hidden="false" customHeight="true" outlineLevel="0" collapsed="false">
      <c r="A6" s="29" t="n">
        <v>4</v>
      </c>
      <c r="B6" s="4" t="s">
        <v>8</v>
      </c>
      <c r="C6" s="30" t="s">
        <v>3</v>
      </c>
      <c r="D6" s="31" t="s">
        <v>104</v>
      </c>
      <c r="E6" s="32" t="s">
        <v>100</v>
      </c>
      <c r="F6" s="32" t="s">
        <v>101</v>
      </c>
      <c r="G6" s="33"/>
      <c r="H6" s="34"/>
    </row>
    <row r="7" customFormat="false" ht="15" hidden="false" customHeight="true" outlineLevel="0" collapsed="false">
      <c r="A7" s="29" t="n">
        <v>5</v>
      </c>
      <c r="B7" s="4" t="s">
        <v>8</v>
      </c>
      <c r="C7" s="35" t="s">
        <v>4</v>
      </c>
      <c r="D7" s="31" t="s">
        <v>105</v>
      </c>
      <c r="E7" s="32" t="s">
        <v>100</v>
      </c>
      <c r="F7" s="32" t="s">
        <v>101</v>
      </c>
      <c r="G7" s="33"/>
      <c r="H7" s="34"/>
    </row>
    <row r="8" customFormat="false" ht="15" hidden="false" customHeight="true" outlineLevel="0" collapsed="false">
      <c r="A8" s="29" t="n">
        <v>6</v>
      </c>
      <c r="B8" s="4" t="s">
        <v>8</v>
      </c>
      <c r="C8" s="35" t="s">
        <v>4</v>
      </c>
      <c r="D8" s="31" t="s">
        <v>106</v>
      </c>
      <c r="E8" s="32" t="s">
        <v>100</v>
      </c>
      <c r="F8" s="32" t="s">
        <v>101</v>
      </c>
      <c r="G8" s="33"/>
      <c r="H8" s="34"/>
    </row>
    <row r="9" customFormat="false" ht="15" hidden="false" customHeight="true" outlineLevel="0" collapsed="false">
      <c r="A9" s="29" t="n">
        <v>7</v>
      </c>
      <c r="B9" s="4" t="s">
        <v>9</v>
      </c>
      <c r="C9" s="30" t="s">
        <v>3</v>
      </c>
      <c r="D9" s="31" t="s">
        <v>107</v>
      </c>
      <c r="E9" s="32" t="s">
        <v>100</v>
      </c>
      <c r="F9" s="32" t="s">
        <v>101</v>
      </c>
      <c r="G9" s="33"/>
      <c r="H9" s="34"/>
    </row>
    <row r="10" customFormat="false" ht="15" hidden="false" customHeight="true" outlineLevel="0" collapsed="false">
      <c r="A10" s="29" t="n">
        <v>8</v>
      </c>
      <c r="B10" s="4" t="s">
        <v>9</v>
      </c>
      <c r="C10" s="30" t="s">
        <v>3</v>
      </c>
      <c r="D10" s="31" t="s">
        <v>108</v>
      </c>
      <c r="E10" s="32" t="s">
        <v>100</v>
      </c>
      <c r="F10" s="32" t="s">
        <v>101</v>
      </c>
      <c r="G10" s="33"/>
      <c r="H10" s="34"/>
    </row>
    <row r="11" customFormat="false" ht="15" hidden="false" customHeight="true" outlineLevel="0" collapsed="false">
      <c r="A11" s="29" t="n">
        <v>9</v>
      </c>
      <c r="B11" s="4" t="s">
        <v>9</v>
      </c>
      <c r="C11" s="30" t="s">
        <v>3</v>
      </c>
      <c r="D11" s="31" t="s">
        <v>109</v>
      </c>
      <c r="E11" s="32" t="s">
        <v>100</v>
      </c>
      <c r="F11" s="32" t="s">
        <v>101</v>
      </c>
      <c r="G11" s="33"/>
      <c r="H11" s="34"/>
    </row>
    <row r="12" customFormat="false" ht="15" hidden="false" customHeight="true" outlineLevel="0" collapsed="false">
      <c r="A12" s="29" t="n">
        <v>10</v>
      </c>
      <c r="B12" s="4" t="s">
        <v>9</v>
      </c>
      <c r="C12" s="35" t="s">
        <v>4</v>
      </c>
      <c r="D12" s="31" t="s">
        <v>110</v>
      </c>
      <c r="E12" s="32" t="s">
        <v>100</v>
      </c>
      <c r="F12" s="32" t="s">
        <v>101</v>
      </c>
      <c r="G12" s="33"/>
      <c r="H12" s="34"/>
    </row>
    <row r="13" customFormat="false" ht="15" hidden="false" customHeight="true" outlineLevel="0" collapsed="false">
      <c r="A13" s="29" t="n">
        <v>11</v>
      </c>
      <c r="B13" s="4" t="s">
        <v>9</v>
      </c>
      <c r="C13" s="35" t="s">
        <v>4</v>
      </c>
      <c r="D13" s="31" t="s">
        <v>111</v>
      </c>
      <c r="E13" s="32" t="s">
        <v>100</v>
      </c>
      <c r="F13" s="32" t="s">
        <v>101</v>
      </c>
      <c r="G13" s="33"/>
      <c r="H13" s="34"/>
    </row>
    <row r="14" customFormat="false" ht="15" hidden="false" customHeight="true" outlineLevel="0" collapsed="false">
      <c r="A14" s="29" t="n">
        <v>12</v>
      </c>
      <c r="B14" s="4" t="s">
        <v>9</v>
      </c>
      <c r="C14" s="35" t="s">
        <v>4</v>
      </c>
      <c r="D14" s="31" t="s">
        <v>112</v>
      </c>
      <c r="E14" s="32" t="s">
        <v>100</v>
      </c>
      <c r="F14" s="32" t="s">
        <v>101</v>
      </c>
      <c r="G14" s="33"/>
      <c r="H14" s="34"/>
    </row>
    <row r="15" customFormat="false" ht="15" hidden="false" customHeight="true" outlineLevel="0" collapsed="false">
      <c r="A15" s="29" t="n">
        <v>13</v>
      </c>
      <c r="B15" s="4" t="s">
        <v>10</v>
      </c>
      <c r="C15" s="30" t="s">
        <v>3</v>
      </c>
      <c r="D15" s="31" t="s">
        <v>113</v>
      </c>
      <c r="E15" s="32" t="s">
        <v>100</v>
      </c>
      <c r="F15" s="32" t="s">
        <v>101</v>
      </c>
      <c r="G15" s="33"/>
      <c r="H15" s="34"/>
    </row>
    <row r="16" customFormat="false" ht="15" hidden="false" customHeight="true" outlineLevel="0" collapsed="false">
      <c r="A16" s="29" t="n">
        <v>14</v>
      </c>
      <c r="B16" s="4" t="s">
        <v>10</v>
      </c>
      <c r="C16" s="30" t="s">
        <v>3</v>
      </c>
      <c r="D16" s="31" t="s">
        <v>114</v>
      </c>
      <c r="E16" s="32" t="s">
        <v>100</v>
      </c>
      <c r="F16" s="32" t="s">
        <v>101</v>
      </c>
      <c r="G16" s="33"/>
      <c r="H16" s="34"/>
    </row>
    <row r="17" customFormat="false" ht="15" hidden="false" customHeight="true" outlineLevel="0" collapsed="false">
      <c r="A17" s="29" t="n">
        <v>15</v>
      </c>
      <c r="B17" s="4" t="s">
        <v>10</v>
      </c>
      <c r="C17" s="35" t="s">
        <v>4</v>
      </c>
      <c r="D17" s="31" t="s">
        <v>115</v>
      </c>
      <c r="E17" s="32" t="s">
        <v>100</v>
      </c>
      <c r="F17" s="32" t="s">
        <v>101</v>
      </c>
      <c r="G17" s="33"/>
      <c r="H17" s="34"/>
    </row>
    <row r="18" customFormat="false" ht="15" hidden="false" customHeight="true" outlineLevel="0" collapsed="false">
      <c r="A18" s="29" t="n">
        <v>16</v>
      </c>
      <c r="B18" s="4" t="s">
        <v>10</v>
      </c>
      <c r="C18" s="35" t="s">
        <v>4</v>
      </c>
      <c r="D18" s="31" t="s">
        <v>116</v>
      </c>
      <c r="E18" s="32" t="s">
        <v>100</v>
      </c>
      <c r="F18" s="32" t="s">
        <v>101</v>
      </c>
      <c r="G18" s="33"/>
      <c r="H18" s="34"/>
    </row>
    <row r="19" customFormat="false" ht="15" hidden="false" customHeight="true" outlineLevel="0" collapsed="false">
      <c r="A19" s="29" t="n">
        <v>17</v>
      </c>
      <c r="B19" s="4" t="s">
        <v>10</v>
      </c>
      <c r="C19" s="35" t="s">
        <v>4</v>
      </c>
      <c r="D19" s="31" t="s">
        <v>117</v>
      </c>
      <c r="E19" s="32" t="s">
        <v>100</v>
      </c>
      <c r="F19" s="32" t="s">
        <v>101</v>
      </c>
      <c r="G19" s="33"/>
      <c r="H19" s="34"/>
    </row>
    <row r="20" customFormat="false" ht="15" hidden="false" customHeight="true" outlineLevel="0" collapsed="false">
      <c r="A20" s="29" t="n">
        <v>18</v>
      </c>
      <c r="B20" s="4" t="s">
        <v>10</v>
      </c>
      <c r="C20" s="36" t="s">
        <v>5</v>
      </c>
      <c r="D20" s="31" t="s">
        <v>118</v>
      </c>
      <c r="E20" s="32" t="s">
        <v>100</v>
      </c>
      <c r="F20" s="32" t="s">
        <v>101</v>
      </c>
      <c r="G20" s="33"/>
      <c r="H20" s="34"/>
    </row>
    <row r="21" customFormat="false" ht="15" hidden="false" customHeight="true" outlineLevel="0" collapsed="false">
      <c r="A21" s="29" t="n">
        <v>19</v>
      </c>
      <c r="B21" s="4" t="s">
        <v>11</v>
      </c>
      <c r="C21" s="30" t="s">
        <v>3</v>
      </c>
      <c r="D21" s="31" t="s">
        <v>119</v>
      </c>
      <c r="E21" s="32" t="s">
        <v>100</v>
      </c>
      <c r="F21" s="32" t="s">
        <v>101</v>
      </c>
      <c r="G21" s="33"/>
      <c r="H21" s="34"/>
    </row>
    <row r="22" customFormat="false" ht="15" hidden="false" customHeight="true" outlineLevel="0" collapsed="false">
      <c r="A22" s="29" t="n">
        <v>20</v>
      </c>
      <c r="B22" s="4" t="s">
        <v>11</v>
      </c>
      <c r="C22" s="35" t="s">
        <v>4</v>
      </c>
      <c r="D22" s="31" t="s">
        <v>120</v>
      </c>
      <c r="E22" s="32" t="s">
        <v>100</v>
      </c>
      <c r="F22" s="32" t="s">
        <v>101</v>
      </c>
      <c r="G22" s="33"/>
      <c r="H22" s="34"/>
    </row>
    <row r="23" customFormat="false" ht="15" hidden="false" customHeight="true" outlineLevel="0" collapsed="false">
      <c r="A23" s="29" t="n">
        <v>21</v>
      </c>
      <c r="B23" s="4" t="s">
        <v>11</v>
      </c>
      <c r="C23" s="35" t="s">
        <v>4</v>
      </c>
      <c r="D23" s="31" t="s">
        <v>121</v>
      </c>
      <c r="E23" s="32" t="s">
        <v>100</v>
      </c>
      <c r="F23" s="32" t="s">
        <v>101</v>
      </c>
      <c r="G23" s="33"/>
      <c r="H23" s="34"/>
    </row>
    <row r="24" customFormat="false" ht="15" hidden="false" customHeight="true" outlineLevel="0" collapsed="false">
      <c r="A24" s="29" t="n">
        <v>22</v>
      </c>
      <c r="B24" s="4" t="s">
        <v>11</v>
      </c>
      <c r="C24" s="35" t="s">
        <v>4</v>
      </c>
      <c r="D24" s="31" t="s">
        <v>122</v>
      </c>
      <c r="E24" s="32" t="s">
        <v>100</v>
      </c>
      <c r="F24" s="32" t="s">
        <v>101</v>
      </c>
      <c r="G24" s="33"/>
      <c r="H24" s="34"/>
    </row>
    <row r="25" customFormat="false" ht="15" hidden="false" customHeight="true" outlineLevel="0" collapsed="false">
      <c r="A25" s="29" t="n">
        <v>23</v>
      </c>
      <c r="B25" s="4" t="s">
        <v>11</v>
      </c>
      <c r="C25" s="36" t="s">
        <v>5</v>
      </c>
      <c r="D25" s="31" t="s">
        <v>123</v>
      </c>
      <c r="E25" s="32" t="s">
        <v>100</v>
      </c>
      <c r="F25" s="32" t="s">
        <v>101</v>
      </c>
      <c r="G25" s="33"/>
      <c r="H25" s="34"/>
    </row>
    <row r="26" customFormat="false" ht="15" hidden="false" customHeight="true" outlineLevel="0" collapsed="false">
      <c r="A26" s="29" t="n">
        <v>24</v>
      </c>
      <c r="B26" s="4" t="s">
        <v>11</v>
      </c>
      <c r="C26" s="36" t="s">
        <v>5</v>
      </c>
      <c r="D26" s="31" t="s">
        <v>124</v>
      </c>
      <c r="E26" s="32" t="s">
        <v>100</v>
      </c>
      <c r="F26" s="32" t="s">
        <v>101</v>
      </c>
      <c r="G26" s="33"/>
      <c r="H26" s="34"/>
    </row>
    <row r="27" customFormat="false" ht="15" hidden="false" customHeight="true" outlineLevel="0" collapsed="false">
      <c r="A27" s="29" t="n">
        <v>25</v>
      </c>
      <c r="B27" s="4" t="s">
        <v>12</v>
      </c>
      <c r="C27" s="35" t="s">
        <v>4</v>
      </c>
      <c r="D27" s="31" t="s">
        <v>125</v>
      </c>
      <c r="E27" s="32" t="s">
        <v>100</v>
      </c>
      <c r="F27" s="32" t="s">
        <v>101</v>
      </c>
      <c r="G27" s="33"/>
      <c r="H27" s="34"/>
    </row>
    <row r="28" customFormat="false" ht="15" hidden="false" customHeight="true" outlineLevel="0" collapsed="false">
      <c r="A28" s="29" t="n">
        <v>26</v>
      </c>
      <c r="B28" s="4" t="s">
        <v>12</v>
      </c>
      <c r="C28" s="35" t="s">
        <v>4</v>
      </c>
      <c r="D28" s="31" t="s">
        <v>126</v>
      </c>
      <c r="E28" s="32" t="s">
        <v>100</v>
      </c>
      <c r="F28" s="32" t="s">
        <v>101</v>
      </c>
      <c r="G28" s="33"/>
      <c r="H28" s="34"/>
    </row>
    <row r="29" customFormat="false" ht="15" hidden="false" customHeight="true" outlineLevel="0" collapsed="false">
      <c r="A29" s="29" t="n">
        <v>27</v>
      </c>
      <c r="B29" s="4" t="s">
        <v>12</v>
      </c>
      <c r="C29" s="35" t="s">
        <v>4</v>
      </c>
      <c r="D29" s="31" t="s">
        <v>127</v>
      </c>
      <c r="E29" s="32" t="s">
        <v>100</v>
      </c>
      <c r="F29" s="32" t="s">
        <v>101</v>
      </c>
      <c r="G29" s="33"/>
      <c r="H29" s="34"/>
    </row>
    <row r="30" customFormat="false" ht="15" hidden="false" customHeight="true" outlineLevel="0" collapsed="false">
      <c r="A30" s="29" t="n">
        <v>28</v>
      </c>
      <c r="B30" s="4" t="s">
        <v>12</v>
      </c>
      <c r="C30" s="36" t="s">
        <v>5</v>
      </c>
      <c r="D30" s="31" t="s">
        <v>128</v>
      </c>
      <c r="E30" s="32" t="s">
        <v>100</v>
      </c>
      <c r="F30" s="32" t="s">
        <v>101</v>
      </c>
      <c r="G30" s="33"/>
      <c r="H30" s="34"/>
    </row>
    <row r="31" customFormat="false" ht="15" hidden="false" customHeight="true" outlineLevel="0" collapsed="false">
      <c r="A31" s="29" t="n">
        <v>29</v>
      </c>
      <c r="B31" s="4" t="s">
        <v>12</v>
      </c>
      <c r="C31" s="36" t="s">
        <v>5</v>
      </c>
      <c r="D31" s="31" t="s">
        <v>129</v>
      </c>
      <c r="E31" s="32" t="s">
        <v>100</v>
      </c>
      <c r="F31" s="32" t="s">
        <v>101</v>
      </c>
      <c r="G31" s="33"/>
      <c r="H31" s="34"/>
    </row>
    <row r="32" customFormat="false" ht="15" hidden="false" customHeight="true" outlineLevel="0" collapsed="false">
      <c r="A32" s="29" t="n">
        <v>30</v>
      </c>
      <c r="B32" s="4" t="s">
        <v>12</v>
      </c>
      <c r="C32" s="36" t="s">
        <v>5</v>
      </c>
      <c r="D32" s="31" t="s">
        <v>130</v>
      </c>
      <c r="E32" s="32" t="s">
        <v>100</v>
      </c>
      <c r="F32" s="32" t="s">
        <v>101</v>
      </c>
      <c r="G32" s="33"/>
      <c r="H32" s="34"/>
    </row>
    <row r="33" customFormat="false" ht="15" hidden="false" customHeight="true" outlineLevel="0" collapsed="false">
      <c r="A33" s="29" t="n">
        <v>31</v>
      </c>
      <c r="B33" s="4" t="s">
        <v>13</v>
      </c>
      <c r="C33" s="30" t="s">
        <v>3</v>
      </c>
      <c r="D33" s="31" t="s">
        <v>131</v>
      </c>
      <c r="E33" s="32" t="s">
        <v>100</v>
      </c>
      <c r="F33" s="32" t="s">
        <v>101</v>
      </c>
      <c r="G33" s="33"/>
      <c r="H33" s="34"/>
    </row>
    <row r="34" customFormat="false" ht="21.75" hidden="false" customHeight="true" outlineLevel="0" collapsed="false">
      <c r="A34" s="29" t="n">
        <v>32</v>
      </c>
      <c r="B34" s="4" t="s">
        <v>13</v>
      </c>
      <c r="C34" s="35" t="s">
        <v>4</v>
      </c>
      <c r="D34" s="31" t="s">
        <v>132</v>
      </c>
      <c r="E34" s="32" t="s">
        <v>100</v>
      </c>
      <c r="F34" s="32" t="s">
        <v>101</v>
      </c>
      <c r="G34" s="33"/>
      <c r="H34" s="34"/>
    </row>
    <row r="35" customFormat="false" ht="15" hidden="false" customHeight="true" outlineLevel="0" collapsed="false">
      <c r="A35" s="29" t="n">
        <v>33</v>
      </c>
      <c r="B35" s="4" t="s">
        <v>13</v>
      </c>
      <c r="C35" s="35" t="s">
        <v>4</v>
      </c>
      <c r="D35" s="31" t="s">
        <v>133</v>
      </c>
      <c r="E35" s="32" t="s">
        <v>100</v>
      </c>
      <c r="F35" s="32" t="s">
        <v>101</v>
      </c>
      <c r="G35" s="33"/>
      <c r="H35" s="34"/>
    </row>
    <row r="36" customFormat="false" ht="15" hidden="false" customHeight="true" outlineLevel="0" collapsed="false">
      <c r="A36" s="29" t="n">
        <v>34</v>
      </c>
      <c r="B36" s="4" t="s">
        <v>13</v>
      </c>
      <c r="C36" s="35" t="s">
        <v>4</v>
      </c>
      <c r="D36" s="31" t="s">
        <v>134</v>
      </c>
      <c r="E36" s="32" t="s">
        <v>100</v>
      </c>
      <c r="F36" s="32" t="s">
        <v>101</v>
      </c>
      <c r="G36" s="33"/>
      <c r="H36" s="34"/>
    </row>
    <row r="37" customFormat="false" ht="15" hidden="false" customHeight="true" outlineLevel="0" collapsed="false">
      <c r="A37" s="29" t="n">
        <v>35</v>
      </c>
      <c r="B37" s="4" t="s">
        <v>13</v>
      </c>
      <c r="C37" s="35" t="s">
        <v>4</v>
      </c>
      <c r="D37" s="31" t="s">
        <v>135</v>
      </c>
      <c r="E37" s="32" t="s">
        <v>100</v>
      </c>
      <c r="F37" s="32" t="s">
        <v>101</v>
      </c>
      <c r="G37" s="33"/>
      <c r="H37" s="34"/>
    </row>
    <row r="38" customFormat="false" ht="15" hidden="false" customHeight="true" outlineLevel="0" collapsed="false">
      <c r="A38" s="29" t="n">
        <v>36</v>
      </c>
      <c r="B38" s="4" t="s">
        <v>13</v>
      </c>
      <c r="C38" s="36" t="s">
        <v>5</v>
      </c>
      <c r="D38" s="31" t="s">
        <v>136</v>
      </c>
      <c r="E38" s="32" t="s">
        <v>100</v>
      </c>
      <c r="F38" s="32" t="s">
        <v>101</v>
      </c>
      <c r="G38" s="33"/>
      <c r="H38" s="34"/>
    </row>
    <row r="39" customFormat="false" ht="15" hidden="false" customHeight="true" outlineLevel="0" collapsed="false">
      <c r="A39" s="29" t="n">
        <v>37</v>
      </c>
      <c r="B39" s="4" t="s">
        <v>14</v>
      </c>
      <c r="C39" s="35" t="s">
        <v>4</v>
      </c>
      <c r="D39" s="31" t="s">
        <v>137</v>
      </c>
      <c r="E39" s="32" t="s">
        <v>100</v>
      </c>
      <c r="F39" s="32" t="s">
        <v>101</v>
      </c>
      <c r="G39" s="33"/>
      <c r="H39" s="34"/>
    </row>
    <row r="40" customFormat="false" ht="15" hidden="false" customHeight="true" outlineLevel="0" collapsed="false">
      <c r="A40" s="29" t="n">
        <v>38</v>
      </c>
      <c r="B40" s="4" t="s">
        <v>14</v>
      </c>
      <c r="C40" s="35" t="s">
        <v>4</v>
      </c>
      <c r="D40" s="31" t="s">
        <v>138</v>
      </c>
      <c r="E40" s="32" t="s">
        <v>100</v>
      </c>
      <c r="F40" s="32" t="s">
        <v>101</v>
      </c>
      <c r="G40" s="33"/>
      <c r="H40" s="34"/>
    </row>
    <row r="41" customFormat="false" ht="15" hidden="false" customHeight="true" outlineLevel="0" collapsed="false">
      <c r="A41" s="29" t="n">
        <v>39</v>
      </c>
      <c r="B41" s="4" t="s">
        <v>14</v>
      </c>
      <c r="C41" s="35" t="s">
        <v>4</v>
      </c>
      <c r="D41" s="31" t="s">
        <v>139</v>
      </c>
      <c r="E41" s="32" t="s">
        <v>100</v>
      </c>
      <c r="F41" s="32" t="s">
        <v>101</v>
      </c>
      <c r="G41" s="33"/>
      <c r="H41" s="34"/>
    </row>
    <row r="42" customFormat="false" ht="15" hidden="false" customHeight="true" outlineLevel="0" collapsed="false">
      <c r="A42" s="29" t="n">
        <v>40</v>
      </c>
      <c r="B42" s="4" t="s">
        <v>14</v>
      </c>
      <c r="C42" s="36" t="s">
        <v>5</v>
      </c>
      <c r="D42" s="31" t="s">
        <v>140</v>
      </c>
      <c r="E42" s="32" t="s">
        <v>100</v>
      </c>
      <c r="F42" s="32" t="s">
        <v>101</v>
      </c>
      <c r="G42" s="33"/>
      <c r="H42" s="34"/>
    </row>
    <row r="43" customFormat="false" ht="15" hidden="false" customHeight="true" outlineLevel="0" collapsed="false">
      <c r="A43" s="29" t="n">
        <v>41</v>
      </c>
      <c r="B43" s="4" t="s">
        <v>14</v>
      </c>
      <c r="C43" s="36" t="s">
        <v>5</v>
      </c>
      <c r="D43" s="31" t="s">
        <v>141</v>
      </c>
      <c r="E43" s="32" t="s">
        <v>100</v>
      </c>
      <c r="F43" s="32" t="s">
        <v>101</v>
      </c>
      <c r="G43" s="33"/>
      <c r="H43" s="34"/>
    </row>
    <row r="44" customFormat="false" ht="15" hidden="false" customHeight="true" outlineLevel="0" collapsed="false">
      <c r="A44" s="29" t="n">
        <v>42</v>
      </c>
      <c r="B44" s="4" t="s">
        <v>14</v>
      </c>
      <c r="C44" s="36" t="s">
        <v>5</v>
      </c>
      <c r="D44" s="31" t="s">
        <v>142</v>
      </c>
      <c r="E44" s="32" t="s">
        <v>100</v>
      </c>
      <c r="F44" s="32" t="s">
        <v>101</v>
      </c>
      <c r="G44" s="33"/>
      <c r="H44" s="34"/>
    </row>
    <row r="45" customFormat="false" ht="15" hidden="false" customHeight="true" outlineLevel="0" collapsed="false">
      <c r="A45" s="29" t="n">
        <v>43</v>
      </c>
      <c r="B45" s="4" t="s">
        <v>15</v>
      </c>
      <c r="C45" s="35" t="s">
        <v>4</v>
      </c>
      <c r="D45" s="31" t="s">
        <v>143</v>
      </c>
      <c r="E45" s="32" t="s">
        <v>100</v>
      </c>
      <c r="F45" s="32" t="s">
        <v>101</v>
      </c>
      <c r="G45" s="33"/>
      <c r="H45" s="34"/>
    </row>
    <row r="46" customFormat="false" ht="15" hidden="false" customHeight="true" outlineLevel="0" collapsed="false">
      <c r="A46" s="29" t="n">
        <v>44</v>
      </c>
      <c r="B46" s="4" t="s">
        <v>15</v>
      </c>
      <c r="C46" s="35" t="s">
        <v>4</v>
      </c>
      <c r="D46" s="31" t="s">
        <v>144</v>
      </c>
      <c r="E46" s="32" t="s">
        <v>100</v>
      </c>
      <c r="F46" s="32" t="s">
        <v>101</v>
      </c>
      <c r="G46" s="33"/>
      <c r="H46" s="34"/>
    </row>
    <row r="47" customFormat="false" ht="15" hidden="false" customHeight="true" outlineLevel="0" collapsed="false">
      <c r="A47" s="29" t="n">
        <v>45</v>
      </c>
      <c r="B47" s="4" t="s">
        <v>15</v>
      </c>
      <c r="C47" s="36" t="s">
        <v>5</v>
      </c>
      <c r="D47" s="31" t="s">
        <v>145</v>
      </c>
      <c r="E47" s="32" t="s">
        <v>100</v>
      </c>
      <c r="F47" s="32" t="s">
        <v>101</v>
      </c>
      <c r="G47" s="33"/>
      <c r="H47" s="34"/>
    </row>
    <row r="48" customFormat="false" ht="15" hidden="false" customHeight="true" outlineLevel="0" collapsed="false">
      <c r="A48" s="29" t="n">
        <v>46</v>
      </c>
      <c r="B48" s="4" t="s">
        <v>15</v>
      </c>
      <c r="C48" s="36" t="s">
        <v>5</v>
      </c>
      <c r="D48" s="31" t="s">
        <v>146</v>
      </c>
      <c r="E48" s="32" t="s">
        <v>100</v>
      </c>
      <c r="F48" s="32" t="s">
        <v>101</v>
      </c>
      <c r="G48" s="33"/>
      <c r="H48" s="34"/>
    </row>
    <row r="49" customFormat="false" ht="15" hidden="false" customHeight="true" outlineLevel="0" collapsed="false">
      <c r="A49" s="29" t="n">
        <v>47</v>
      </c>
      <c r="B49" s="4" t="s">
        <v>15</v>
      </c>
      <c r="C49" s="35" t="s">
        <v>4</v>
      </c>
      <c r="D49" s="31" t="s">
        <v>147</v>
      </c>
      <c r="E49" s="32" t="s">
        <v>100</v>
      </c>
      <c r="F49" s="32" t="s">
        <v>101</v>
      </c>
      <c r="G49" s="33"/>
      <c r="H49" s="34"/>
    </row>
    <row r="50" customFormat="false" ht="15" hidden="false" customHeight="true" outlineLevel="0" collapsed="false">
      <c r="A50" s="29" t="n">
        <v>48</v>
      </c>
      <c r="B50" s="4" t="s">
        <v>15</v>
      </c>
      <c r="C50" s="36" t="s">
        <v>5</v>
      </c>
      <c r="D50" s="31" t="s">
        <v>148</v>
      </c>
      <c r="E50" s="32" t="s">
        <v>100</v>
      </c>
      <c r="F50" s="32" t="s">
        <v>101</v>
      </c>
      <c r="G50" s="33"/>
      <c r="H50" s="34"/>
    </row>
    <row r="51" customFormat="false" ht="15" hidden="false" customHeight="true" outlineLevel="0" collapsed="false">
      <c r="A51" s="29" t="n">
        <v>49</v>
      </c>
      <c r="B51" s="4" t="s">
        <v>16</v>
      </c>
      <c r="C51" s="35" t="s">
        <v>4</v>
      </c>
      <c r="D51" s="31" t="s">
        <v>149</v>
      </c>
      <c r="E51" s="32" t="s">
        <v>100</v>
      </c>
      <c r="F51" s="32" t="s">
        <v>101</v>
      </c>
      <c r="G51" s="33"/>
      <c r="H51" s="34"/>
    </row>
    <row r="52" customFormat="false" ht="15" hidden="false" customHeight="true" outlineLevel="0" collapsed="false">
      <c r="A52" s="29" t="n">
        <v>50</v>
      </c>
      <c r="B52" s="4" t="s">
        <v>16</v>
      </c>
      <c r="C52" s="36" t="s">
        <v>5</v>
      </c>
      <c r="D52" s="31" t="s">
        <v>150</v>
      </c>
      <c r="E52" s="32" t="s">
        <v>100</v>
      </c>
      <c r="F52" s="32" t="s">
        <v>101</v>
      </c>
      <c r="G52" s="33"/>
      <c r="H52" s="34"/>
    </row>
    <row r="53" customFormat="false" ht="15" hidden="false" customHeight="true" outlineLevel="0" collapsed="false">
      <c r="A53" s="29" t="n">
        <v>51</v>
      </c>
      <c r="B53" s="4" t="s">
        <v>16</v>
      </c>
      <c r="C53" s="35" t="s">
        <v>4</v>
      </c>
      <c r="D53" s="31" t="s">
        <v>151</v>
      </c>
      <c r="E53" s="32" t="s">
        <v>100</v>
      </c>
      <c r="F53" s="32" t="s">
        <v>101</v>
      </c>
      <c r="G53" s="33"/>
      <c r="H53" s="34"/>
    </row>
    <row r="54" customFormat="false" ht="15" hidden="false" customHeight="true" outlineLevel="0" collapsed="false">
      <c r="A54" s="29" t="n">
        <v>52</v>
      </c>
      <c r="B54" s="4" t="s">
        <v>16</v>
      </c>
      <c r="C54" s="36" t="s">
        <v>5</v>
      </c>
      <c r="D54" s="31" t="s">
        <v>152</v>
      </c>
      <c r="E54" s="32" t="s">
        <v>100</v>
      </c>
      <c r="F54" s="32" t="s">
        <v>101</v>
      </c>
      <c r="G54" s="33"/>
      <c r="H54" s="34"/>
    </row>
    <row r="55" customFormat="false" ht="15" hidden="false" customHeight="true" outlineLevel="0" collapsed="false">
      <c r="A55" s="29" t="n">
        <v>53</v>
      </c>
      <c r="B55" s="4" t="s">
        <v>16</v>
      </c>
      <c r="C55" s="36" t="s">
        <v>5</v>
      </c>
      <c r="D55" s="31" t="s">
        <v>153</v>
      </c>
      <c r="E55" s="32" t="s">
        <v>100</v>
      </c>
      <c r="F55" s="32" t="s">
        <v>101</v>
      </c>
      <c r="G55" s="33"/>
      <c r="H55" s="34"/>
    </row>
    <row r="56" customFormat="false" ht="15" hidden="false" customHeight="true" outlineLevel="0" collapsed="false">
      <c r="A56" s="29" t="n">
        <v>54</v>
      </c>
      <c r="B56" s="4" t="s">
        <v>16</v>
      </c>
      <c r="C56" s="36" t="s">
        <v>5</v>
      </c>
      <c r="D56" s="31" t="s">
        <v>154</v>
      </c>
      <c r="E56" s="32" t="s">
        <v>100</v>
      </c>
      <c r="F56" s="32" t="s">
        <v>101</v>
      </c>
      <c r="G56" s="33"/>
      <c r="H56" s="34"/>
    </row>
  </sheetData>
  <autoFilter ref="A2:H56"/>
  <mergeCells count="1">
    <mergeCell ref="A1:H1"/>
  </mergeCells>
  <conditionalFormatting sqref="F3:F56">
    <cfRule type="expression" priority="2" aboveAverage="0" equalAverage="0" bottom="0" percent="0" rank="0" text="" dxfId="8">
      <formula>$F3="✅ Done"</formula>
    </cfRule>
    <cfRule type="expression" priority="3" aboveAverage="0" equalAverage="0" bottom="0" percent="0" rank="0" text="" dxfId="9">
      <formula>$F3="🔄 In Progress"</formula>
    </cfRule>
    <cfRule type="expression" priority="4" aboveAverage="0" equalAverage="0" bottom="0" percent="0" rank="0" text="" dxfId="10">
      <formula>$F3="❌ Revisit"</formula>
    </cfRule>
  </conditionalFormatting>
  <dataValidations count="1">
    <dataValidation allowBlank="true" errorStyle="stop" operator="between" showDropDown="false" showErrorMessage="false" showInputMessage="false" sqref="F3:F56" type="list">
      <formula1>"⬜ Todo,🔄 In Progress,✅ Done,❌ Revisit"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6"/>
    <col collapsed="false" customWidth="true" hidden="false" outlineLevel="0" max="9" min="3" style="1" width="15"/>
    <col collapsed="false" customWidth="true" hidden="false" outlineLevel="0" max="13" min="12" style="1" width="7"/>
  </cols>
  <sheetData>
    <row r="1" customFormat="false" ht="27.75" hidden="false" customHeight="true" outlineLevel="0" collapsed="false">
      <c r="A1" s="37" t="s">
        <v>155</v>
      </c>
      <c r="B1" s="37"/>
      <c r="C1" s="37"/>
      <c r="D1" s="37"/>
      <c r="E1" s="37"/>
      <c r="F1" s="37"/>
      <c r="G1" s="37"/>
      <c r="H1" s="37"/>
      <c r="I1" s="37"/>
      <c r="L1" s="38" t="s">
        <v>156</v>
      </c>
      <c r="M1" s="39" t="n">
        <f aca="false">IFERROR(MATCH($C$3,'⚙ data'!$A$2:$A$55,0),0)</f>
        <v>1</v>
      </c>
    </row>
    <row r="2" customFormat="false" ht="15" hidden="false" customHeight="true" outlineLevel="0" collapsed="false">
      <c r="M2" s="39" t="str">
        <f aca="false">IF($M$1=0,"",INDEX('⚙ data'!$D$2:$D$55,$M$1))</f>
        <v>List every product with its name, category and price, most expensive first.</v>
      </c>
    </row>
    <row r="3" customFormat="false" ht="15" hidden="false" customHeight="true" outlineLevel="0" collapsed="false">
      <c r="B3" s="40" t="s">
        <v>157</v>
      </c>
      <c r="C3" s="41" t="n">
        <v>1</v>
      </c>
      <c r="D3" s="41"/>
      <c r="M3" s="39" t="str">
        <f aca="false">IF($M$1=0,"",INDEX('⚙ data'!$B$2:$B$55,$M$1))</f>
        <v>1. SELECT basics</v>
      </c>
    </row>
    <row r="4" customFormat="false" ht="15" hidden="false" customHeight="true" outlineLevel="0" collapsed="false">
      <c r="B4" s="40" t="s">
        <v>158</v>
      </c>
      <c r="C4" s="42" t="s">
        <v>159</v>
      </c>
      <c r="D4" s="42"/>
      <c r="E4" s="42"/>
      <c r="F4" s="42"/>
      <c r="M4" s="39" t="str">
        <f aca="false">IF($M$1=0,"",INDEX('⚙ data'!$C$2:$C$55,$M$1))</f>
        <v>Easy</v>
      </c>
    </row>
    <row r="5" customFormat="false" ht="90" hidden="false" customHeight="true" outlineLevel="0" collapsed="false">
      <c r="B5" s="40" t="s">
        <v>160</v>
      </c>
      <c r="C5" s="43"/>
      <c r="D5" s="43"/>
      <c r="E5" s="43"/>
      <c r="F5" s="43"/>
      <c r="G5" s="43"/>
      <c r="H5" s="43"/>
      <c r="I5" s="43"/>
      <c r="M5" s="39" t="str">
        <f aca="false">IF($M$1=0,"",INDEX('⚙ data'!$E$2:$E$55,$M$1))</f>
        <v>15 rows sorted by price.</v>
      </c>
    </row>
    <row r="7" customFormat="false" ht="15" hidden="false" customHeight="true" outlineLevel="0" collapsed="false">
      <c r="B7" s="40" t="s">
        <v>161</v>
      </c>
      <c r="C7" s="44" t="str">
        <f aca="false">IF($M$1=0,"⚠ enter a valid Query # (1–54)",$M$2)</f>
        <v>List every product with its name, category and price, most expensive first.</v>
      </c>
      <c r="D7" s="44"/>
      <c r="E7" s="44"/>
      <c r="F7" s="44"/>
      <c r="G7" s="44"/>
      <c r="H7" s="44"/>
      <c r="I7" s="44"/>
    </row>
    <row r="8" customFormat="false" ht="15" hidden="false" customHeight="true" outlineLevel="0" collapsed="false">
      <c r="B8" s="40" t="s">
        <v>162</v>
      </c>
      <c r="C8" s="44" t="str">
        <f aca="false">IF($M$1=0,"",$M$3&amp;"   ·   "&amp;$M$4&amp;"   ·   expected: "&amp;$M$5)</f>
        <v>1. SELECT basics   ·   Easy   ·   expected: 15 rows sorted by price.</v>
      </c>
      <c r="D8" s="44"/>
      <c r="E8" s="44"/>
      <c r="F8" s="44"/>
      <c r="G8" s="44"/>
      <c r="H8" s="44"/>
      <c r="I8" s="44"/>
    </row>
    <row r="10" customFormat="false" ht="15" hidden="false" customHeight="true" outlineLevel="0" collapsed="false">
      <c r="B10" s="40" t="s">
        <v>163</v>
      </c>
      <c r="C10" s="45" t="s">
        <v>164</v>
      </c>
      <c r="D10" s="45"/>
      <c r="E10" s="45"/>
      <c r="F10" s="45"/>
      <c r="G10" s="45"/>
      <c r="H10" s="45"/>
      <c r="I10" s="45"/>
    </row>
    <row r="11" customFormat="false" ht="15" hidden="false" customHeight="true" outlineLevel="0" collapsed="false">
      <c r="B11" s="46" t="str">
        <f aca="false">"You are a MySQL 8 tutor reviewing a practice query. I am a senior Java developer strengthening my SQL for product-company interviews. My weak areas are JOIN, GROUP BY and HAVING — whenever any of these appear, slow down and explain them explicitly rather than assuming I follow."&amp;CHAR(10)&amp;""&amp;CHAR(10)&amp;"Schema (MySQL 8, database sql_practice): customers(customer_id PK, name, email, city, country, segment Consumer/SME/Enterprise, signup_date) | orders(order_id PK, customer_id FK, order_date, status PLACED/SHIPPED/DELIVERED/CANCELLED/RETURNED, channel WEB/MOBILE/STORE) | order_items(order_item_id PK, order_id FK, product_id FK, quantity, unit_price) | products(product_id PK, name, category, price, cost — cost is NULL for one product) | payments(payment_id PK, order_id FK, amount, payment_date, method, status SUCCESS/FAILED/REFUNDED) | employees(employee_id PK, name, title, department, manager_id self-FK NULL for CEO, hire_date, salary)"&amp;CHAR(10)&amp;"Data quirks to reason about: customers 19 &amp; 20 never ordered; product 15 never sold; orders 5 &amp; 23 are CANCELLED with no payment row; some orders have a FAILED payment followed by a SUCCESS; RETURNED orders also carry a REFUNDED payment, so filtering payments on status matters."&amp;CHAR(10)&amp;""&amp;CHAR(10)&amp;"Question #"&amp;$C$3&amp;" ("&amp;$M$3&amp;", "&amp;$M$4&amp;"): "&amp;$M$2&amp;CHAR(10)&amp;"Expected result shape: "&amp;$M$5&amp;CHAR(10)&amp;""&amp;CHAR(10)&amp;"My SQL:"&amp;CHAR(10)&amp;"```sql"&amp;CHAR(10)&amp;IF(TRIM($C$5)="","&lt;PASTE YOUR SQL HERE&gt;",$C$5)&amp;CHAR(10)&amp;"```"&amp;CHAR(10)&amp;""&amp;CHAR(10)&amp;IF($C$4="Hint only — I am stuck","Task: I have NOT solved this yet. Do NOT show me the full query. Give: (a) which tables I need and why, (b) the first clause I should write, (c) one conceptual hint about the trickiest part. Stop there — let me try.",IF($C$4="Teach step-by-step","Task: 1. Say if my query answers the question correctly (check joins, filters, grouping). 2. TEACH the logical execution order for THIS query — FROM, JOIN (show what the joined rows look like), WHERE, GROUP BY (what each group contains), HAVING (which groups survive), SELECT, ORDER BY — with a tiny worked example of the intermediate result at each stage. 3. Point out exactly where my mental model went wrong if it did. 4. Only then show the corrected/idiomatic query. 5. Give me ONE rule of thumb to remember for next time.","Task: 1. Is my query correct for the question? Check join conditions, row multiplication, WHERE vs HAVING placement, and NULL handling. 2. State what my query actually returns if it differs from what was asked. 3. Show the corrected or more idiomatic MySQL 8 version AFTER explaining the issue. 4. Mention any index or performance note an interviewer would expect. 5. Verdict: correct / minor fix / wrong approach."))&amp;CHAR(10)&amp;""&amp;CHAR(10)&amp;"Be direct — name real mistakes plainly. Do not pad with praise."</f>
        <v>You are a MySQL 8 tutor reviewing a practice query. I am a senior Java developer strengthening my SQL for product-company interviews. My weak areas are JOIN, GROUP BY and HAVING — whenever any of these appear, slow down and explain them explicitly rather than assuming I follow.
Schema (MySQL 8, database sql_practice): customers(customer_id PK, name, email, city, country, segment Consumer/SME/Enterprise, signup_date) | orders(order_id PK, customer_id FK, order_date, status PLACED/SHIPPED/DELIVERED/CANCELLED/RETURNED, channel WEB/MOBILE/STORE) | order_items(order_item_id PK, order_id FK, product_id FK, quantity, unit_price) | products(product_id PK, name, category, price, cost — cost is NULL for one product) | payments(payment_id PK, order_id FK, amount, payment_date, method, status SUCCESS/FAILED/REFUNDED) | employees(employee_id PK, name, title, department, manager_id self-FK NULL for CEO, hire_date, salary)
Data quirks to reason about: customers 19 &amp; 20 never ordered; product 15 never sold; orders 5 &amp; 23 are CANCELLED with no payment row; some orders have a FAILED payment followed by a SUCCESS; RETURNED orders also carry a REFUNDED payment, so filtering payments on status matters.
Question #1 (1. SELECT basics, Easy): List every product with its name, category and price, most expensive first.
Expected result shape: 15 rows sorted by price.
My SQL:
```sql
&lt;PASTE YOUR SQL HERE&gt;
```
Task: 1. Say if my query answers the question correctly (check joins, filters, grouping). 2. TEACH the logical execution order for THIS query — FROM, JOIN (show what the joined rows look like), WHERE, GROUP BY (what each group contains), HAVING (which groups survive), SELECT, ORDER BY — with a tiny worked example of the intermediate result at each stage. 3. Point out exactly where my mental model went wrong if it did. 4. Only then show the corrected/idiomatic query. 5. Give me ONE rule of thumb to remember for next time.
Be direct — name real mistakes plainly. Do not pad with praise.</v>
      </c>
      <c r="C11" s="46"/>
      <c r="D11" s="46"/>
      <c r="E11" s="46"/>
      <c r="F11" s="46"/>
      <c r="G11" s="46"/>
      <c r="H11" s="46"/>
      <c r="I11" s="46"/>
    </row>
    <row r="12" customFormat="false" ht="15" hidden="false" customHeight="true" outlineLevel="0" collapsed="false">
      <c r="B12" s="46"/>
      <c r="C12" s="46"/>
      <c r="D12" s="46"/>
      <c r="E12" s="46"/>
      <c r="F12" s="46"/>
      <c r="G12" s="46"/>
      <c r="H12" s="46"/>
      <c r="I12" s="46"/>
    </row>
    <row r="13" customFormat="false" ht="15" hidden="false" customHeight="true" outlineLevel="0" collapsed="false">
      <c r="B13" s="46"/>
      <c r="C13" s="46"/>
      <c r="D13" s="46"/>
      <c r="E13" s="46"/>
      <c r="F13" s="46"/>
      <c r="G13" s="46"/>
      <c r="H13" s="46"/>
      <c r="I13" s="46"/>
    </row>
    <row r="14" customFormat="false" ht="15" hidden="false" customHeight="true" outlineLevel="0" collapsed="false">
      <c r="B14" s="46"/>
      <c r="C14" s="46"/>
      <c r="D14" s="46"/>
      <c r="E14" s="46"/>
      <c r="F14" s="46"/>
      <c r="G14" s="46"/>
      <c r="H14" s="46"/>
      <c r="I14" s="46"/>
    </row>
    <row r="15" customFormat="false" ht="15" hidden="false" customHeight="true" outlineLevel="0" collapsed="false">
      <c r="B15" s="46"/>
      <c r="C15" s="46"/>
      <c r="D15" s="46"/>
      <c r="E15" s="46"/>
      <c r="F15" s="46"/>
      <c r="G15" s="46"/>
      <c r="H15" s="46"/>
      <c r="I15" s="46"/>
    </row>
    <row r="16" customFormat="false" ht="15" hidden="false" customHeight="true" outlineLevel="0" collapsed="false">
      <c r="B16" s="46"/>
      <c r="C16" s="46"/>
      <c r="D16" s="46"/>
      <c r="E16" s="46"/>
      <c r="F16" s="46"/>
      <c r="G16" s="46"/>
      <c r="H16" s="46"/>
      <c r="I16" s="46"/>
    </row>
    <row r="17" customFormat="false" ht="15" hidden="false" customHeight="true" outlineLevel="0" collapsed="false">
      <c r="B17" s="46"/>
      <c r="C17" s="46"/>
      <c r="D17" s="46"/>
      <c r="E17" s="46"/>
      <c r="F17" s="46"/>
      <c r="G17" s="46"/>
      <c r="H17" s="46"/>
      <c r="I17" s="46"/>
    </row>
    <row r="18" customFormat="false" ht="15" hidden="false" customHeight="true" outlineLevel="0" collapsed="false">
      <c r="B18" s="46"/>
      <c r="C18" s="46"/>
      <c r="D18" s="46"/>
      <c r="E18" s="46"/>
      <c r="F18" s="46"/>
      <c r="G18" s="46"/>
      <c r="H18" s="46"/>
      <c r="I18" s="46"/>
    </row>
    <row r="19" customFormat="false" ht="15" hidden="false" customHeight="true" outlineLevel="0" collapsed="false">
      <c r="B19" s="46"/>
      <c r="C19" s="46"/>
      <c r="D19" s="46"/>
      <c r="E19" s="46"/>
      <c r="F19" s="46"/>
      <c r="G19" s="46"/>
      <c r="H19" s="46"/>
      <c r="I19" s="46"/>
    </row>
    <row r="20" customFormat="false" ht="15" hidden="false" customHeight="true" outlineLevel="0" collapsed="false">
      <c r="B20" s="46"/>
      <c r="C20" s="46"/>
      <c r="D20" s="46"/>
      <c r="E20" s="46"/>
      <c r="F20" s="46"/>
      <c r="G20" s="46"/>
      <c r="H20" s="46"/>
      <c r="I20" s="46"/>
    </row>
    <row r="21" customFormat="false" ht="15" hidden="false" customHeight="true" outlineLevel="0" collapsed="false">
      <c r="B21" s="46"/>
      <c r="C21" s="46"/>
      <c r="D21" s="46"/>
      <c r="E21" s="46"/>
      <c r="F21" s="46"/>
      <c r="G21" s="46"/>
      <c r="H21" s="46"/>
      <c r="I21" s="46"/>
    </row>
    <row r="22" customFormat="false" ht="15" hidden="false" customHeight="true" outlineLevel="0" collapsed="false">
      <c r="B22" s="46"/>
      <c r="C22" s="46"/>
      <c r="D22" s="46"/>
      <c r="E22" s="46"/>
      <c r="F22" s="46"/>
      <c r="G22" s="46"/>
      <c r="H22" s="46"/>
      <c r="I22" s="46"/>
    </row>
    <row r="23" customFormat="false" ht="15" hidden="false" customHeight="true" outlineLevel="0" collapsed="false">
      <c r="B23" s="46"/>
      <c r="C23" s="46"/>
      <c r="D23" s="46"/>
      <c r="E23" s="46"/>
      <c r="F23" s="46"/>
      <c r="G23" s="46"/>
      <c r="H23" s="46"/>
      <c r="I23" s="46"/>
    </row>
    <row r="24" customFormat="false" ht="15" hidden="false" customHeight="true" outlineLevel="0" collapsed="false">
      <c r="B24" s="46"/>
      <c r="C24" s="46"/>
      <c r="D24" s="46"/>
      <c r="E24" s="46"/>
      <c r="F24" s="46"/>
      <c r="G24" s="46"/>
      <c r="H24" s="46"/>
      <c r="I24" s="46"/>
    </row>
    <row r="25" customFormat="false" ht="15" hidden="false" customHeight="true" outlineLevel="0" collapsed="false">
      <c r="B25" s="46"/>
      <c r="C25" s="46"/>
      <c r="D25" s="46"/>
      <c r="E25" s="46"/>
      <c r="F25" s="46"/>
      <c r="G25" s="46"/>
      <c r="H25" s="46"/>
      <c r="I25" s="46"/>
    </row>
    <row r="26" customFormat="false" ht="15" hidden="false" customHeight="true" outlineLevel="0" collapsed="false">
      <c r="B26" s="46"/>
      <c r="C26" s="46"/>
      <c r="D26" s="46"/>
      <c r="E26" s="46"/>
      <c r="F26" s="46"/>
      <c r="G26" s="46"/>
      <c r="H26" s="46"/>
      <c r="I26" s="46"/>
    </row>
    <row r="27" customFormat="false" ht="15" hidden="false" customHeight="true" outlineLevel="0" collapsed="false">
      <c r="B27" s="46"/>
      <c r="C27" s="46"/>
      <c r="D27" s="46"/>
      <c r="E27" s="46"/>
      <c r="F27" s="46"/>
      <c r="G27" s="46"/>
      <c r="H27" s="46"/>
      <c r="I27" s="46"/>
    </row>
    <row r="28" customFormat="false" ht="15" hidden="false" customHeight="true" outlineLevel="0" collapsed="false">
      <c r="B28" s="46"/>
      <c r="C28" s="46"/>
      <c r="D28" s="46"/>
      <c r="E28" s="46"/>
      <c r="F28" s="46"/>
      <c r="G28" s="46"/>
      <c r="H28" s="46"/>
      <c r="I28" s="46"/>
    </row>
    <row r="29" customFormat="false" ht="15" hidden="false" customHeight="true" outlineLevel="0" collapsed="false">
      <c r="B29" s="46"/>
      <c r="C29" s="46"/>
      <c r="D29" s="46"/>
      <c r="E29" s="46"/>
      <c r="F29" s="46"/>
      <c r="G29" s="46"/>
      <c r="H29" s="46"/>
      <c r="I29" s="46"/>
    </row>
    <row r="30" customFormat="false" ht="15" hidden="false" customHeight="true" outlineLevel="0" collapsed="false">
      <c r="B30" s="46"/>
      <c r="C30" s="46"/>
      <c r="D30" s="46"/>
      <c r="E30" s="46"/>
      <c r="F30" s="46"/>
      <c r="G30" s="46"/>
      <c r="H30" s="46"/>
      <c r="I30" s="46"/>
    </row>
    <row r="31" customFormat="false" ht="15" hidden="false" customHeight="true" outlineLevel="0" collapsed="false">
      <c r="B31" s="46"/>
      <c r="C31" s="46"/>
      <c r="D31" s="46"/>
      <c r="E31" s="46"/>
      <c r="F31" s="46"/>
      <c r="G31" s="46"/>
      <c r="H31" s="46"/>
      <c r="I31" s="46"/>
    </row>
    <row r="32" customFormat="false" ht="15" hidden="false" customHeight="true" outlineLevel="0" collapsed="false">
      <c r="B32" s="46"/>
      <c r="C32" s="46"/>
      <c r="D32" s="46"/>
      <c r="E32" s="46"/>
      <c r="F32" s="46"/>
      <c r="G32" s="46"/>
      <c r="H32" s="46"/>
      <c r="I32" s="46"/>
    </row>
    <row r="33" customFormat="false" ht="15" hidden="false" customHeight="true" outlineLevel="0" collapsed="false">
      <c r="B33" s="46"/>
      <c r="C33" s="46"/>
      <c r="D33" s="46"/>
      <c r="E33" s="46"/>
      <c r="F33" s="46"/>
      <c r="G33" s="46"/>
      <c r="H33" s="46"/>
      <c r="I33" s="46"/>
    </row>
    <row r="34" customFormat="false" ht="15" hidden="false" customHeight="true" outlineLevel="0" collapsed="false">
      <c r="B34" s="46"/>
      <c r="C34" s="46"/>
      <c r="D34" s="46"/>
      <c r="E34" s="46"/>
      <c r="F34" s="46"/>
      <c r="G34" s="46"/>
      <c r="H34" s="46"/>
      <c r="I34" s="46"/>
    </row>
    <row r="35" customFormat="false" ht="15" hidden="false" customHeight="true" outlineLevel="0" collapsed="false">
      <c r="B35" s="46"/>
      <c r="C35" s="46"/>
      <c r="D35" s="46"/>
      <c r="E35" s="46"/>
      <c r="F35" s="46"/>
      <c r="G35" s="46"/>
      <c r="H35" s="46"/>
      <c r="I35" s="46"/>
    </row>
    <row r="36" customFormat="false" ht="15" hidden="false" customHeight="true" outlineLevel="0" collapsed="false">
      <c r="B36" s="46"/>
      <c r="C36" s="46"/>
      <c r="D36" s="46"/>
      <c r="E36" s="46"/>
      <c r="F36" s="46"/>
      <c r="G36" s="46"/>
      <c r="H36" s="46"/>
      <c r="I36" s="46"/>
    </row>
    <row r="37" customFormat="false" ht="15" hidden="false" customHeight="true" outlineLevel="0" collapsed="false">
      <c r="B37" s="46"/>
      <c r="C37" s="46"/>
      <c r="D37" s="46"/>
      <c r="E37" s="46"/>
      <c r="F37" s="46"/>
      <c r="G37" s="46"/>
      <c r="H37" s="46"/>
      <c r="I37" s="46"/>
    </row>
    <row r="38" customFormat="false" ht="15" hidden="false" customHeight="true" outlineLevel="0" collapsed="false">
      <c r="B38" s="46"/>
      <c r="C38" s="46"/>
      <c r="D38" s="46"/>
      <c r="E38" s="46"/>
      <c r="F38" s="46"/>
      <c r="G38" s="46"/>
      <c r="H38" s="46"/>
      <c r="I38" s="46"/>
    </row>
    <row r="39" customFormat="false" ht="15" hidden="false" customHeight="true" outlineLevel="0" collapsed="false">
      <c r="B39" s="46"/>
      <c r="C39" s="46"/>
      <c r="D39" s="46"/>
      <c r="E39" s="46"/>
      <c r="F39" s="46"/>
      <c r="G39" s="46"/>
      <c r="H39" s="46"/>
      <c r="I39" s="46"/>
    </row>
    <row r="40" customFormat="false" ht="15" hidden="false" customHeight="true" outlineLevel="0" collapsed="false">
      <c r="B40" s="46"/>
      <c r="C40" s="46"/>
      <c r="D40" s="46"/>
      <c r="E40" s="46"/>
      <c r="F40" s="46"/>
      <c r="G40" s="46"/>
      <c r="H40" s="46"/>
      <c r="I40" s="46"/>
    </row>
    <row r="41" customFormat="false" ht="15" hidden="false" customHeight="true" outlineLevel="0" collapsed="false">
      <c r="B41" s="46"/>
      <c r="C41" s="46"/>
      <c r="D41" s="46"/>
      <c r="E41" s="46"/>
      <c r="F41" s="46"/>
      <c r="G41" s="46"/>
      <c r="H41" s="46"/>
      <c r="I41" s="46"/>
    </row>
    <row r="42" customFormat="false" ht="15" hidden="false" customHeight="true" outlineLevel="0" collapsed="false">
      <c r="B42" s="46"/>
      <c r="C42" s="46"/>
      <c r="D42" s="46"/>
      <c r="E42" s="46"/>
      <c r="F42" s="46"/>
      <c r="G42" s="46"/>
      <c r="H42" s="46"/>
      <c r="I42" s="46"/>
    </row>
    <row r="43" customFormat="false" ht="15" hidden="false" customHeight="true" outlineLevel="0" collapsed="false">
      <c r="B43" s="46"/>
      <c r="C43" s="46"/>
      <c r="D43" s="46"/>
      <c r="E43" s="46"/>
      <c r="F43" s="46"/>
      <c r="G43" s="46"/>
      <c r="H43" s="46"/>
      <c r="I43" s="46"/>
    </row>
    <row r="44" customFormat="false" ht="15" hidden="false" customHeight="true" outlineLevel="0" collapsed="false">
      <c r="B44" s="46"/>
      <c r="C44" s="46"/>
      <c r="D44" s="46"/>
      <c r="E44" s="46"/>
      <c r="F44" s="46"/>
      <c r="G44" s="46"/>
      <c r="H44" s="46"/>
      <c r="I44" s="46"/>
    </row>
    <row r="45" customFormat="false" ht="15" hidden="false" customHeight="true" outlineLevel="0" collapsed="false">
      <c r="B45" s="46"/>
      <c r="C45" s="46"/>
      <c r="D45" s="46"/>
      <c r="E45" s="46"/>
      <c r="F45" s="46"/>
      <c r="G45" s="46"/>
      <c r="H45" s="46"/>
      <c r="I45" s="46"/>
    </row>
    <row r="46" customFormat="false" ht="15" hidden="false" customHeight="true" outlineLevel="0" collapsed="false">
      <c r="B46" s="46"/>
      <c r="C46" s="46"/>
      <c r="D46" s="46"/>
      <c r="E46" s="46"/>
      <c r="F46" s="46"/>
      <c r="G46" s="46"/>
      <c r="H46" s="46"/>
      <c r="I46" s="46"/>
    </row>
  </sheetData>
  <mergeCells count="8">
    <mergeCell ref="A1:I1"/>
    <mergeCell ref="C3:D3"/>
    <mergeCell ref="C4:F4"/>
    <mergeCell ref="C5:I5"/>
    <mergeCell ref="C7:I7"/>
    <mergeCell ref="C8:I8"/>
    <mergeCell ref="C10:I10"/>
    <mergeCell ref="B11:I46"/>
  </mergeCells>
  <dataValidations count="2">
    <dataValidation allowBlank="false" errorStyle="stop" operator="between" showDropDown="false" showErrorMessage="false" showInputMessage="false" sqref="C4" type="list">
      <formula1>"Review my query,Teach step-by-step,Hint only — I am stuck"</formula1>
      <formula2>0</formula2>
    </dataValidation>
    <dataValidation allowBlank="true" errorStyle="stop" operator="between" showDropDown="false" showErrorMessage="false" showInputMessage="false" sqref="C3" type="whole">
      <formula1>1</formula1>
      <formula2>54</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42"/>
    <col collapsed="false" customWidth="true" hidden="false" outlineLevel="0" max="3" min="3" style="1" width="70"/>
    <col collapsed="false" customWidth="true" hidden="false" outlineLevel="0" max="4" min="4" style="1" width="40"/>
  </cols>
  <sheetData>
    <row r="1" customFormat="false" ht="27.75" hidden="false" customHeight="true" outlineLevel="0" collapsed="false">
      <c r="A1" s="2" t="s">
        <v>165</v>
      </c>
      <c r="B1" s="2"/>
      <c r="C1" s="2"/>
      <c r="D1" s="2"/>
    </row>
    <row r="2" customFormat="false" ht="15" hidden="false" customHeight="true" outlineLevel="0" collapsed="false">
      <c r="A2" s="3" t="s">
        <v>92</v>
      </c>
      <c r="B2" s="3" t="s">
        <v>94</v>
      </c>
      <c r="C2" s="3" t="s">
        <v>166</v>
      </c>
      <c r="D2" s="3" t="s">
        <v>167</v>
      </c>
    </row>
    <row r="3" customFormat="false" ht="51.75" hidden="false" customHeight="true" outlineLevel="0" collapsed="false">
      <c r="A3" s="32" t="n">
        <v>1</v>
      </c>
      <c r="B3" s="31" t="s">
        <v>99</v>
      </c>
      <c r="C3" s="47" t="s">
        <v>168</v>
      </c>
      <c r="D3" s="31" t="s">
        <v>169</v>
      </c>
    </row>
    <row r="4" customFormat="false" ht="51.75" hidden="false" customHeight="true" outlineLevel="0" collapsed="false">
      <c r="A4" s="32" t="n">
        <v>2</v>
      </c>
      <c r="B4" s="31" t="s">
        <v>102</v>
      </c>
      <c r="C4" s="47" t="s">
        <v>170</v>
      </c>
      <c r="D4" s="31" t="s">
        <v>171</v>
      </c>
    </row>
    <row r="5" customFormat="false" ht="51.75" hidden="false" customHeight="true" outlineLevel="0" collapsed="false">
      <c r="A5" s="32" t="n">
        <v>3</v>
      </c>
      <c r="B5" s="31" t="s">
        <v>103</v>
      </c>
      <c r="C5" s="47" t="s">
        <v>172</v>
      </c>
      <c r="D5" s="31" t="s">
        <v>173</v>
      </c>
    </row>
    <row r="6" customFormat="false" ht="51.75" hidden="false" customHeight="true" outlineLevel="0" collapsed="false">
      <c r="A6" s="32" t="n">
        <v>4</v>
      </c>
      <c r="B6" s="31" t="s">
        <v>104</v>
      </c>
      <c r="C6" s="47" t="s">
        <v>174</v>
      </c>
      <c r="D6" s="31" t="s">
        <v>175</v>
      </c>
    </row>
    <row r="7" customFormat="false" ht="51.75" hidden="false" customHeight="true" outlineLevel="0" collapsed="false">
      <c r="A7" s="32" t="n">
        <v>5</v>
      </c>
      <c r="B7" s="31" t="s">
        <v>105</v>
      </c>
      <c r="C7" s="47" t="s">
        <v>176</v>
      </c>
      <c r="D7" s="31" t="s">
        <v>177</v>
      </c>
    </row>
    <row r="8" customFormat="false" ht="51.75" hidden="false" customHeight="true" outlineLevel="0" collapsed="false">
      <c r="A8" s="32" t="n">
        <v>6</v>
      </c>
      <c r="B8" s="31" t="s">
        <v>106</v>
      </c>
      <c r="C8" s="47" t="s">
        <v>178</v>
      </c>
      <c r="D8" s="31" t="s">
        <v>179</v>
      </c>
    </row>
    <row r="9" customFormat="false" ht="51.75" hidden="false" customHeight="true" outlineLevel="0" collapsed="false">
      <c r="A9" s="32" t="n">
        <v>7</v>
      </c>
      <c r="B9" s="31" t="s">
        <v>107</v>
      </c>
      <c r="C9" s="47" t="s">
        <v>180</v>
      </c>
      <c r="D9" s="31" t="s">
        <v>181</v>
      </c>
    </row>
    <row r="10" customFormat="false" ht="51.75" hidden="false" customHeight="true" outlineLevel="0" collapsed="false">
      <c r="A10" s="32" t="n">
        <v>8</v>
      </c>
      <c r="B10" s="31" t="s">
        <v>108</v>
      </c>
      <c r="C10" s="47" t="s">
        <v>182</v>
      </c>
      <c r="D10" s="31" t="s">
        <v>183</v>
      </c>
    </row>
    <row r="11" customFormat="false" ht="51.75" hidden="false" customHeight="true" outlineLevel="0" collapsed="false">
      <c r="A11" s="32" t="n">
        <v>9</v>
      </c>
      <c r="B11" s="31" t="s">
        <v>109</v>
      </c>
      <c r="C11" s="47" t="s">
        <v>184</v>
      </c>
      <c r="D11" s="31" t="s">
        <v>185</v>
      </c>
    </row>
    <row r="12" customFormat="false" ht="51.75" hidden="false" customHeight="true" outlineLevel="0" collapsed="false">
      <c r="A12" s="32" t="n">
        <v>10</v>
      </c>
      <c r="B12" s="31" t="s">
        <v>110</v>
      </c>
      <c r="C12" s="47" t="s">
        <v>186</v>
      </c>
      <c r="D12" s="31" t="s">
        <v>187</v>
      </c>
    </row>
    <row r="13" customFormat="false" ht="51.75" hidden="false" customHeight="true" outlineLevel="0" collapsed="false">
      <c r="A13" s="32" t="n">
        <v>11</v>
      </c>
      <c r="B13" s="31" t="s">
        <v>111</v>
      </c>
      <c r="C13" s="47" t="s">
        <v>188</v>
      </c>
      <c r="D13" s="31" t="s">
        <v>189</v>
      </c>
    </row>
    <row r="14" customFormat="false" ht="51.75" hidden="false" customHeight="true" outlineLevel="0" collapsed="false">
      <c r="A14" s="32" t="n">
        <v>12</v>
      </c>
      <c r="B14" s="31" t="s">
        <v>112</v>
      </c>
      <c r="C14" s="47" t="s">
        <v>190</v>
      </c>
      <c r="D14" s="31" t="s">
        <v>191</v>
      </c>
    </row>
    <row r="15" customFormat="false" ht="51.75" hidden="false" customHeight="true" outlineLevel="0" collapsed="false">
      <c r="A15" s="32" t="n">
        <v>13</v>
      </c>
      <c r="B15" s="31" t="s">
        <v>113</v>
      </c>
      <c r="C15" s="47" t="s">
        <v>192</v>
      </c>
      <c r="D15" s="31" t="s">
        <v>193</v>
      </c>
    </row>
    <row r="16" customFormat="false" ht="51.75" hidden="false" customHeight="true" outlineLevel="0" collapsed="false">
      <c r="A16" s="32" t="n">
        <v>14</v>
      </c>
      <c r="B16" s="31" t="s">
        <v>114</v>
      </c>
      <c r="C16" s="47" t="s">
        <v>194</v>
      </c>
      <c r="D16" s="31" t="s">
        <v>195</v>
      </c>
    </row>
    <row r="17" customFormat="false" ht="51.75" hidden="false" customHeight="true" outlineLevel="0" collapsed="false">
      <c r="A17" s="32" t="n">
        <v>15</v>
      </c>
      <c r="B17" s="31" t="s">
        <v>115</v>
      </c>
      <c r="C17" s="47" t="s">
        <v>196</v>
      </c>
      <c r="D17" s="31" t="s">
        <v>197</v>
      </c>
    </row>
    <row r="18" customFormat="false" ht="51.75" hidden="false" customHeight="true" outlineLevel="0" collapsed="false">
      <c r="A18" s="32" t="n">
        <v>16</v>
      </c>
      <c r="B18" s="31" t="s">
        <v>116</v>
      </c>
      <c r="C18" s="47" t="s">
        <v>198</v>
      </c>
      <c r="D18" s="31" t="s">
        <v>199</v>
      </c>
    </row>
    <row r="19" customFormat="false" ht="51.75" hidden="false" customHeight="true" outlineLevel="0" collapsed="false">
      <c r="A19" s="32" t="n">
        <v>17</v>
      </c>
      <c r="B19" s="31" t="s">
        <v>117</v>
      </c>
      <c r="C19" s="47" t="s">
        <v>200</v>
      </c>
      <c r="D19" s="31" t="s">
        <v>201</v>
      </c>
    </row>
    <row r="20" customFormat="false" ht="51.75" hidden="false" customHeight="true" outlineLevel="0" collapsed="false">
      <c r="A20" s="32" t="n">
        <v>18</v>
      </c>
      <c r="B20" s="31" t="s">
        <v>118</v>
      </c>
      <c r="C20" s="47" t="s">
        <v>202</v>
      </c>
      <c r="D20" s="31" t="s">
        <v>203</v>
      </c>
    </row>
    <row r="21" customFormat="false" ht="51.75" hidden="false" customHeight="true" outlineLevel="0" collapsed="false">
      <c r="A21" s="32" t="n">
        <v>19</v>
      </c>
      <c r="B21" s="31" t="s">
        <v>119</v>
      </c>
      <c r="C21" s="47" t="s">
        <v>204</v>
      </c>
      <c r="D21" s="31" t="s">
        <v>205</v>
      </c>
    </row>
    <row r="22" customFormat="false" ht="51.75" hidden="false" customHeight="true" outlineLevel="0" collapsed="false">
      <c r="A22" s="32" t="n">
        <v>20</v>
      </c>
      <c r="B22" s="31" t="s">
        <v>120</v>
      </c>
      <c r="C22" s="47" t="s">
        <v>206</v>
      </c>
      <c r="D22" s="31" t="s">
        <v>207</v>
      </c>
    </row>
    <row r="23" customFormat="false" ht="51.75" hidden="false" customHeight="true" outlineLevel="0" collapsed="false">
      <c r="A23" s="32" t="n">
        <v>21</v>
      </c>
      <c r="B23" s="31" t="s">
        <v>121</v>
      </c>
      <c r="C23" s="47" t="s">
        <v>208</v>
      </c>
      <c r="D23" s="31" t="s">
        <v>209</v>
      </c>
    </row>
    <row r="24" customFormat="false" ht="51.75" hidden="false" customHeight="true" outlineLevel="0" collapsed="false">
      <c r="A24" s="32" t="n">
        <v>22</v>
      </c>
      <c r="B24" s="31" t="s">
        <v>122</v>
      </c>
      <c r="C24" s="47" t="s">
        <v>210</v>
      </c>
      <c r="D24" s="31" t="s">
        <v>211</v>
      </c>
    </row>
    <row r="25" customFormat="false" ht="51.75" hidden="false" customHeight="true" outlineLevel="0" collapsed="false">
      <c r="A25" s="32" t="n">
        <v>23</v>
      </c>
      <c r="B25" s="31" t="s">
        <v>123</v>
      </c>
      <c r="C25" s="47" t="s">
        <v>212</v>
      </c>
      <c r="D25" s="31" t="s">
        <v>213</v>
      </c>
    </row>
    <row r="26" customFormat="false" ht="51.75" hidden="false" customHeight="true" outlineLevel="0" collapsed="false">
      <c r="A26" s="32" t="n">
        <v>24</v>
      </c>
      <c r="B26" s="31" t="s">
        <v>124</v>
      </c>
      <c r="C26" s="47" t="s">
        <v>214</v>
      </c>
      <c r="D26" s="31" t="s">
        <v>215</v>
      </c>
    </row>
    <row r="27" customFormat="false" ht="51.75" hidden="false" customHeight="true" outlineLevel="0" collapsed="false">
      <c r="A27" s="32" t="n">
        <v>25</v>
      </c>
      <c r="B27" s="31" t="s">
        <v>125</v>
      </c>
      <c r="C27" s="47" t="s">
        <v>216</v>
      </c>
      <c r="D27" s="31" t="s">
        <v>217</v>
      </c>
    </row>
    <row r="28" customFormat="false" ht="51.75" hidden="false" customHeight="true" outlineLevel="0" collapsed="false">
      <c r="A28" s="32" t="n">
        <v>26</v>
      </c>
      <c r="B28" s="31" t="s">
        <v>126</v>
      </c>
      <c r="C28" s="47" t="s">
        <v>218</v>
      </c>
      <c r="D28" s="31" t="s">
        <v>219</v>
      </c>
    </row>
    <row r="29" customFormat="false" ht="51.75" hidden="false" customHeight="true" outlineLevel="0" collapsed="false">
      <c r="A29" s="32" t="n">
        <v>27</v>
      </c>
      <c r="B29" s="31" t="s">
        <v>127</v>
      </c>
      <c r="C29" s="47" t="s">
        <v>220</v>
      </c>
      <c r="D29" s="31" t="s">
        <v>221</v>
      </c>
    </row>
    <row r="30" customFormat="false" ht="51.75" hidden="false" customHeight="true" outlineLevel="0" collapsed="false">
      <c r="A30" s="32" t="n">
        <v>28</v>
      </c>
      <c r="B30" s="31" t="s">
        <v>128</v>
      </c>
      <c r="C30" s="47" t="s">
        <v>222</v>
      </c>
      <c r="D30" s="31" t="s">
        <v>223</v>
      </c>
    </row>
    <row r="31" customFormat="false" ht="51.75" hidden="false" customHeight="true" outlineLevel="0" collapsed="false">
      <c r="A31" s="32" t="n">
        <v>29</v>
      </c>
      <c r="B31" s="31" t="s">
        <v>129</v>
      </c>
      <c r="C31" s="47" t="s">
        <v>224</v>
      </c>
      <c r="D31" s="31" t="s">
        <v>225</v>
      </c>
    </row>
    <row r="32" customFormat="false" ht="51.75" hidden="false" customHeight="true" outlineLevel="0" collapsed="false">
      <c r="A32" s="32" t="n">
        <v>30</v>
      </c>
      <c r="B32" s="31" t="s">
        <v>130</v>
      </c>
      <c r="C32" s="47" t="s">
        <v>226</v>
      </c>
      <c r="D32" s="31" t="s">
        <v>227</v>
      </c>
    </row>
    <row r="33" customFormat="false" ht="51.75" hidden="false" customHeight="true" outlineLevel="0" collapsed="false">
      <c r="A33" s="32" t="n">
        <v>31</v>
      </c>
      <c r="B33" s="31" t="s">
        <v>131</v>
      </c>
      <c r="C33" s="47" t="s">
        <v>228</v>
      </c>
      <c r="D33" s="31" t="s">
        <v>229</v>
      </c>
    </row>
    <row r="34" customFormat="false" ht="51.75" hidden="false" customHeight="true" outlineLevel="0" collapsed="false">
      <c r="A34" s="32" t="n">
        <v>32</v>
      </c>
      <c r="B34" s="31" t="s">
        <v>132</v>
      </c>
      <c r="C34" s="47" t="s">
        <v>230</v>
      </c>
      <c r="D34" s="31" t="s">
        <v>231</v>
      </c>
    </row>
    <row r="35" customFormat="false" ht="51.75" hidden="false" customHeight="true" outlineLevel="0" collapsed="false">
      <c r="A35" s="32" t="n">
        <v>33</v>
      </c>
      <c r="B35" s="31" t="s">
        <v>133</v>
      </c>
      <c r="C35" s="47" t="s">
        <v>232</v>
      </c>
      <c r="D35" s="31" t="s">
        <v>233</v>
      </c>
    </row>
    <row r="36" customFormat="false" ht="51.75" hidden="false" customHeight="true" outlineLevel="0" collapsed="false">
      <c r="A36" s="32" t="n">
        <v>34</v>
      </c>
      <c r="B36" s="31" t="s">
        <v>134</v>
      </c>
      <c r="C36" s="47" t="s">
        <v>234</v>
      </c>
      <c r="D36" s="31" t="s">
        <v>235</v>
      </c>
    </row>
    <row r="37" customFormat="false" ht="51.75" hidden="false" customHeight="true" outlineLevel="0" collapsed="false">
      <c r="A37" s="32" t="n">
        <v>35</v>
      </c>
      <c r="B37" s="31" t="s">
        <v>135</v>
      </c>
      <c r="C37" s="47" t="s">
        <v>236</v>
      </c>
      <c r="D37" s="31" t="s">
        <v>237</v>
      </c>
    </row>
    <row r="38" customFormat="false" ht="51.75" hidden="false" customHeight="true" outlineLevel="0" collapsed="false">
      <c r="A38" s="32" t="n">
        <v>36</v>
      </c>
      <c r="B38" s="31" t="s">
        <v>136</v>
      </c>
      <c r="C38" s="47" t="s">
        <v>238</v>
      </c>
      <c r="D38" s="31" t="s">
        <v>239</v>
      </c>
    </row>
    <row r="39" customFormat="false" ht="51.75" hidden="false" customHeight="true" outlineLevel="0" collapsed="false">
      <c r="A39" s="32" t="n">
        <v>37</v>
      </c>
      <c r="B39" s="31" t="s">
        <v>137</v>
      </c>
      <c r="C39" s="47" t="s">
        <v>240</v>
      </c>
      <c r="D39" s="31" t="s">
        <v>241</v>
      </c>
    </row>
    <row r="40" customFormat="false" ht="51.75" hidden="false" customHeight="true" outlineLevel="0" collapsed="false">
      <c r="A40" s="32" t="n">
        <v>38</v>
      </c>
      <c r="B40" s="31" t="s">
        <v>138</v>
      </c>
      <c r="C40" s="47" t="s">
        <v>242</v>
      </c>
      <c r="D40" s="31" t="s">
        <v>243</v>
      </c>
    </row>
    <row r="41" customFormat="false" ht="51.75" hidden="false" customHeight="true" outlineLevel="0" collapsed="false">
      <c r="A41" s="32" t="n">
        <v>39</v>
      </c>
      <c r="B41" s="31" t="s">
        <v>139</v>
      </c>
      <c r="C41" s="47" t="s">
        <v>244</v>
      </c>
      <c r="D41" s="31" t="s">
        <v>245</v>
      </c>
    </row>
    <row r="42" customFormat="false" ht="51.75" hidden="false" customHeight="true" outlineLevel="0" collapsed="false">
      <c r="A42" s="32" t="n">
        <v>40</v>
      </c>
      <c r="B42" s="31" t="s">
        <v>140</v>
      </c>
      <c r="C42" s="47" t="s">
        <v>246</v>
      </c>
      <c r="D42" s="31" t="s">
        <v>247</v>
      </c>
    </row>
    <row r="43" customFormat="false" ht="51.75" hidden="false" customHeight="true" outlineLevel="0" collapsed="false">
      <c r="A43" s="32" t="n">
        <v>41</v>
      </c>
      <c r="B43" s="31" t="s">
        <v>141</v>
      </c>
      <c r="C43" s="47" t="s">
        <v>248</v>
      </c>
      <c r="D43" s="31" t="s">
        <v>249</v>
      </c>
    </row>
    <row r="44" customFormat="false" ht="51.75" hidden="false" customHeight="true" outlineLevel="0" collapsed="false">
      <c r="A44" s="32" t="n">
        <v>42</v>
      </c>
      <c r="B44" s="31" t="s">
        <v>142</v>
      </c>
      <c r="C44" s="47" t="s">
        <v>250</v>
      </c>
      <c r="D44" s="31" t="s">
        <v>251</v>
      </c>
    </row>
    <row r="45" customFormat="false" ht="51.75" hidden="false" customHeight="true" outlineLevel="0" collapsed="false">
      <c r="A45" s="32" t="n">
        <v>43</v>
      </c>
      <c r="B45" s="31" t="s">
        <v>143</v>
      </c>
      <c r="C45" s="47" t="s">
        <v>252</v>
      </c>
      <c r="D45" s="31" t="s">
        <v>253</v>
      </c>
    </row>
    <row r="46" customFormat="false" ht="51.75" hidden="false" customHeight="true" outlineLevel="0" collapsed="false">
      <c r="A46" s="32" t="n">
        <v>44</v>
      </c>
      <c r="B46" s="31" t="s">
        <v>144</v>
      </c>
      <c r="C46" s="47" t="s">
        <v>254</v>
      </c>
      <c r="D46" s="31" t="s">
        <v>255</v>
      </c>
    </row>
    <row r="47" customFormat="false" ht="51.75" hidden="false" customHeight="true" outlineLevel="0" collapsed="false">
      <c r="A47" s="32" t="n">
        <v>45</v>
      </c>
      <c r="B47" s="31" t="s">
        <v>145</v>
      </c>
      <c r="C47" s="47" t="s">
        <v>256</v>
      </c>
      <c r="D47" s="31" t="s">
        <v>257</v>
      </c>
    </row>
    <row r="48" customFormat="false" ht="51.75" hidden="false" customHeight="true" outlineLevel="0" collapsed="false">
      <c r="A48" s="32" t="n">
        <v>46</v>
      </c>
      <c r="B48" s="31" t="s">
        <v>146</v>
      </c>
      <c r="C48" s="47" t="s">
        <v>258</v>
      </c>
      <c r="D48" s="31" t="s">
        <v>259</v>
      </c>
    </row>
    <row r="49" customFormat="false" ht="51.75" hidden="false" customHeight="true" outlineLevel="0" collapsed="false">
      <c r="A49" s="32" t="n">
        <v>47</v>
      </c>
      <c r="B49" s="31" t="s">
        <v>147</v>
      </c>
      <c r="C49" s="47" t="s">
        <v>260</v>
      </c>
      <c r="D49" s="31" t="s">
        <v>261</v>
      </c>
    </row>
    <row r="50" customFormat="false" ht="51.75" hidden="false" customHeight="true" outlineLevel="0" collapsed="false">
      <c r="A50" s="32" t="n">
        <v>48</v>
      </c>
      <c r="B50" s="31" t="s">
        <v>148</v>
      </c>
      <c r="C50" s="47" t="s">
        <v>262</v>
      </c>
      <c r="D50" s="31" t="s">
        <v>263</v>
      </c>
    </row>
    <row r="51" customFormat="false" ht="51.75" hidden="false" customHeight="true" outlineLevel="0" collapsed="false">
      <c r="A51" s="32" t="n">
        <v>49</v>
      </c>
      <c r="B51" s="31" t="s">
        <v>149</v>
      </c>
      <c r="C51" s="47" t="s">
        <v>264</v>
      </c>
      <c r="D51" s="31" t="s">
        <v>265</v>
      </c>
    </row>
    <row r="52" customFormat="false" ht="51.75" hidden="false" customHeight="true" outlineLevel="0" collapsed="false">
      <c r="A52" s="32" t="n">
        <v>50</v>
      </c>
      <c r="B52" s="31" t="s">
        <v>150</v>
      </c>
      <c r="C52" s="47" t="s">
        <v>266</v>
      </c>
      <c r="D52" s="31" t="s">
        <v>267</v>
      </c>
    </row>
    <row r="53" customFormat="false" ht="51.75" hidden="false" customHeight="true" outlineLevel="0" collapsed="false">
      <c r="A53" s="32" t="n">
        <v>51</v>
      </c>
      <c r="B53" s="31" t="s">
        <v>151</v>
      </c>
      <c r="C53" s="47" t="s">
        <v>268</v>
      </c>
      <c r="D53" s="31" t="s">
        <v>269</v>
      </c>
    </row>
    <row r="54" customFormat="false" ht="51.75" hidden="false" customHeight="true" outlineLevel="0" collapsed="false">
      <c r="A54" s="32" t="n">
        <v>52</v>
      </c>
      <c r="B54" s="31" t="s">
        <v>152</v>
      </c>
      <c r="C54" s="47" t="s">
        <v>270</v>
      </c>
      <c r="D54" s="31" t="s">
        <v>271</v>
      </c>
    </row>
    <row r="55" customFormat="false" ht="51.75" hidden="false" customHeight="true" outlineLevel="0" collapsed="false">
      <c r="A55" s="32" t="n">
        <v>53</v>
      </c>
      <c r="B55" s="31" t="s">
        <v>153</v>
      </c>
      <c r="C55" s="47" t="s">
        <v>272</v>
      </c>
      <c r="D55" s="31" t="s">
        <v>273</v>
      </c>
    </row>
    <row r="56" customFormat="false" ht="51.75" hidden="false" customHeight="true" outlineLevel="0" collapsed="false">
      <c r="A56" s="32" t="n">
        <v>54</v>
      </c>
      <c r="B56" s="31" t="s">
        <v>154</v>
      </c>
      <c r="C56" s="47" t="s">
        <v>274</v>
      </c>
      <c r="D56" s="31" t="s">
        <v>275</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true" outlineLevel="0" collapsed="false">
      <c r="A1" s="1" t="s">
        <v>92</v>
      </c>
      <c r="B1" s="1" t="s">
        <v>276</v>
      </c>
      <c r="C1" s="1" t="s">
        <v>277</v>
      </c>
      <c r="D1" s="1" t="s">
        <v>278</v>
      </c>
      <c r="E1" s="1" t="s">
        <v>279</v>
      </c>
    </row>
    <row r="2" customFormat="false" ht="15" hidden="false" customHeight="true" outlineLevel="0" collapsed="false">
      <c r="A2" s="1" t="n">
        <v>1</v>
      </c>
      <c r="B2" s="1" t="s">
        <v>8</v>
      </c>
      <c r="C2" s="1" t="s">
        <v>3</v>
      </c>
      <c r="D2" s="1" t="s">
        <v>99</v>
      </c>
      <c r="E2" s="1" t="s">
        <v>280</v>
      </c>
    </row>
    <row r="3" customFormat="false" ht="15" hidden="false" customHeight="true" outlineLevel="0" collapsed="false">
      <c r="A3" s="1" t="n">
        <v>2</v>
      </c>
      <c r="B3" s="1" t="s">
        <v>8</v>
      </c>
      <c r="C3" s="1" t="s">
        <v>3</v>
      </c>
      <c r="D3" s="1" t="s">
        <v>102</v>
      </c>
      <c r="E3" s="1" t="s">
        <v>281</v>
      </c>
    </row>
    <row r="4" customFormat="false" ht="15" hidden="false" customHeight="true" outlineLevel="0" collapsed="false">
      <c r="A4" s="1" t="n">
        <v>3</v>
      </c>
      <c r="B4" s="1" t="s">
        <v>8</v>
      </c>
      <c r="C4" s="1" t="s">
        <v>3</v>
      </c>
      <c r="D4" s="1" t="s">
        <v>103</v>
      </c>
      <c r="E4" s="1" t="s">
        <v>282</v>
      </c>
    </row>
    <row r="5" customFormat="false" ht="15" hidden="false" customHeight="true" outlineLevel="0" collapsed="false">
      <c r="A5" s="1" t="n">
        <v>4</v>
      </c>
      <c r="B5" s="1" t="s">
        <v>8</v>
      </c>
      <c r="C5" s="1" t="s">
        <v>3</v>
      </c>
      <c r="D5" s="1" t="s">
        <v>104</v>
      </c>
      <c r="E5" s="1" t="s">
        <v>283</v>
      </c>
    </row>
    <row r="6" customFormat="false" ht="15" hidden="false" customHeight="true" outlineLevel="0" collapsed="false">
      <c r="A6" s="1" t="n">
        <v>5</v>
      </c>
      <c r="B6" s="1" t="s">
        <v>8</v>
      </c>
      <c r="C6" s="1" t="s">
        <v>4</v>
      </c>
      <c r="D6" s="1" t="s">
        <v>105</v>
      </c>
      <c r="E6" s="1" t="s">
        <v>284</v>
      </c>
    </row>
    <row r="7" customFormat="false" ht="15" hidden="false" customHeight="true" outlineLevel="0" collapsed="false">
      <c r="A7" s="1" t="n">
        <v>6</v>
      </c>
      <c r="B7" s="1" t="s">
        <v>8</v>
      </c>
      <c r="C7" s="1" t="s">
        <v>4</v>
      </c>
      <c r="D7" s="1" t="s">
        <v>106</v>
      </c>
      <c r="E7" s="1" t="s">
        <v>285</v>
      </c>
    </row>
    <row r="8" customFormat="false" ht="15" hidden="false" customHeight="true" outlineLevel="0" collapsed="false">
      <c r="A8" s="1" t="n">
        <v>7</v>
      </c>
      <c r="B8" s="1" t="s">
        <v>9</v>
      </c>
      <c r="C8" s="1" t="s">
        <v>3</v>
      </c>
      <c r="D8" s="1" t="s">
        <v>107</v>
      </c>
      <c r="E8" s="1" t="s">
        <v>286</v>
      </c>
    </row>
    <row r="9" customFormat="false" ht="15" hidden="false" customHeight="true" outlineLevel="0" collapsed="false">
      <c r="A9" s="1" t="n">
        <v>8</v>
      </c>
      <c r="B9" s="1" t="s">
        <v>9</v>
      </c>
      <c r="C9" s="1" t="s">
        <v>3</v>
      </c>
      <c r="D9" s="1" t="s">
        <v>108</v>
      </c>
      <c r="E9" s="1" t="s">
        <v>287</v>
      </c>
    </row>
    <row r="10" customFormat="false" ht="15" hidden="false" customHeight="true" outlineLevel="0" collapsed="false">
      <c r="A10" s="1" t="n">
        <v>9</v>
      </c>
      <c r="B10" s="1" t="s">
        <v>9</v>
      </c>
      <c r="C10" s="1" t="s">
        <v>3</v>
      </c>
      <c r="D10" s="1" t="s">
        <v>109</v>
      </c>
      <c r="E10" s="1" t="s">
        <v>288</v>
      </c>
    </row>
    <row r="11" customFormat="false" ht="15" hidden="false" customHeight="true" outlineLevel="0" collapsed="false">
      <c r="A11" s="1" t="n">
        <v>10</v>
      </c>
      <c r="B11" s="1" t="s">
        <v>9</v>
      </c>
      <c r="C11" s="1" t="s">
        <v>4</v>
      </c>
      <c r="D11" s="1" t="s">
        <v>110</v>
      </c>
      <c r="E11" s="1" t="s">
        <v>289</v>
      </c>
    </row>
    <row r="12" customFormat="false" ht="15" hidden="false" customHeight="true" outlineLevel="0" collapsed="false">
      <c r="A12" s="1" t="n">
        <v>11</v>
      </c>
      <c r="B12" s="1" t="s">
        <v>9</v>
      </c>
      <c r="C12" s="1" t="s">
        <v>4</v>
      </c>
      <c r="D12" s="1" t="s">
        <v>111</v>
      </c>
      <c r="E12" s="1" t="s">
        <v>290</v>
      </c>
    </row>
    <row r="13" customFormat="false" ht="15" hidden="false" customHeight="true" outlineLevel="0" collapsed="false">
      <c r="A13" s="1" t="n">
        <v>12</v>
      </c>
      <c r="B13" s="1" t="s">
        <v>9</v>
      </c>
      <c r="C13" s="1" t="s">
        <v>4</v>
      </c>
      <c r="D13" s="1" t="s">
        <v>112</v>
      </c>
      <c r="E13" s="1" t="s">
        <v>291</v>
      </c>
    </row>
    <row r="14" customFormat="false" ht="15" hidden="false" customHeight="true" outlineLevel="0" collapsed="false">
      <c r="A14" s="1" t="n">
        <v>13</v>
      </c>
      <c r="B14" s="1" t="s">
        <v>10</v>
      </c>
      <c r="C14" s="1" t="s">
        <v>3</v>
      </c>
      <c r="D14" s="1" t="s">
        <v>113</v>
      </c>
      <c r="E14" s="1" t="s">
        <v>292</v>
      </c>
    </row>
    <row r="15" customFormat="false" ht="15" hidden="false" customHeight="true" outlineLevel="0" collapsed="false">
      <c r="A15" s="1" t="n">
        <v>14</v>
      </c>
      <c r="B15" s="1" t="s">
        <v>10</v>
      </c>
      <c r="C15" s="1" t="s">
        <v>3</v>
      </c>
      <c r="D15" s="1" t="s">
        <v>114</v>
      </c>
      <c r="E15" s="1" t="s">
        <v>293</v>
      </c>
    </row>
    <row r="16" customFormat="false" ht="15" hidden="false" customHeight="true" outlineLevel="0" collapsed="false">
      <c r="A16" s="1" t="n">
        <v>15</v>
      </c>
      <c r="B16" s="1" t="s">
        <v>10</v>
      </c>
      <c r="C16" s="1" t="s">
        <v>4</v>
      </c>
      <c r="D16" s="1" t="s">
        <v>115</v>
      </c>
      <c r="E16" s="1" t="s">
        <v>294</v>
      </c>
    </row>
    <row r="17" customFormat="false" ht="15" hidden="false" customHeight="true" outlineLevel="0" collapsed="false">
      <c r="A17" s="1" t="n">
        <v>16</v>
      </c>
      <c r="B17" s="1" t="s">
        <v>10</v>
      </c>
      <c r="C17" s="1" t="s">
        <v>4</v>
      </c>
      <c r="D17" s="1" t="s">
        <v>116</v>
      </c>
      <c r="E17" s="1" t="s">
        <v>295</v>
      </c>
    </row>
    <row r="18" customFormat="false" ht="15" hidden="false" customHeight="true" outlineLevel="0" collapsed="false">
      <c r="A18" s="1" t="n">
        <v>17</v>
      </c>
      <c r="B18" s="1" t="s">
        <v>10</v>
      </c>
      <c r="C18" s="1" t="s">
        <v>4</v>
      </c>
      <c r="D18" s="1" t="s">
        <v>117</v>
      </c>
      <c r="E18" s="1" t="s">
        <v>296</v>
      </c>
    </row>
    <row r="19" customFormat="false" ht="15" hidden="false" customHeight="true" outlineLevel="0" collapsed="false">
      <c r="A19" s="1" t="n">
        <v>18</v>
      </c>
      <c r="B19" s="1" t="s">
        <v>10</v>
      </c>
      <c r="C19" s="1" t="s">
        <v>5</v>
      </c>
      <c r="D19" s="1" t="s">
        <v>118</v>
      </c>
      <c r="E19" s="1" t="s">
        <v>283</v>
      </c>
    </row>
    <row r="20" customFormat="false" ht="15" hidden="false" customHeight="true" outlineLevel="0" collapsed="false">
      <c r="A20" s="1" t="n">
        <v>19</v>
      </c>
      <c r="B20" s="1" t="s">
        <v>11</v>
      </c>
      <c r="C20" s="1" t="s">
        <v>3</v>
      </c>
      <c r="D20" s="1" t="s">
        <v>119</v>
      </c>
      <c r="E20" s="1" t="s">
        <v>296</v>
      </c>
    </row>
    <row r="21" customFormat="false" ht="15" hidden="false" customHeight="true" outlineLevel="0" collapsed="false">
      <c r="A21" s="1" t="n">
        <v>20</v>
      </c>
      <c r="B21" s="1" t="s">
        <v>11</v>
      </c>
      <c r="C21" s="1" t="s">
        <v>4</v>
      </c>
      <c r="D21" s="1" t="s">
        <v>120</v>
      </c>
      <c r="E21" s="1" t="s">
        <v>297</v>
      </c>
    </row>
    <row r="22" customFormat="false" ht="15" hidden="false" customHeight="true" outlineLevel="0" collapsed="false">
      <c r="A22" s="1" t="n">
        <v>21</v>
      </c>
      <c r="B22" s="1" t="s">
        <v>11</v>
      </c>
      <c r="C22" s="1" t="s">
        <v>4</v>
      </c>
      <c r="D22" s="1" t="s">
        <v>121</v>
      </c>
      <c r="E22" s="1" t="s">
        <v>298</v>
      </c>
    </row>
    <row r="23" customFormat="false" ht="15" hidden="false" customHeight="true" outlineLevel="0" collapsed="false">
      <c r="A23" s="1" t="n">
        <v>22</v>
      </c>
      <c r="B23" s="1" t="s">
        <v>11</v>
      </c>
      <c r="C23" s="1" t="s">
        <v>4</v>
      </c>
      <c r="D23" s="1" t="s">
        <v>122</v>
      </c>
      <c r="E23" s="1" t="s">
        <v>299</v>
      </c>
    </row>
    <row r="24" customFormat="false" ht="15" hidden="false" customHeight="true" outlineLevel="0" collapsed="false">
      <c r="A24" s="1" t="n">
        <v>23</v>
      </c>
      <c r="B24" s="1" t="s">
        <v>11</v>
      </c>
      <c r="C24" s="1" t="s">
        <v>5</v>
      </c>
      <c r="D24" s="1" t="s">
        <v>123</v>
      </c>
      <c r="E24" s="1" t="s">
        <v>300</v>
      </c>
    </row>
    <row r="25" customFormat="false" ht="15" hidden="false" customHeight="true" outlineLevel="0" collapsed="false">
      <c r="A25" s="1" t="n">
        <v>24</v>
      </c>
      <c r="B25" s="1" t="s">
        <v>11</v>
      </c>
      <c r="C25" s="1" t="s">
        <v>5</v>
      </c>
      <c r="D25" s="1" t="s">
        <v>124</v>
      </c>
      <c r="E25" s="1" t="s">
        <v>301</v>
      </c>
    </row>
    <row r="26" customFormat="false" ht="15" hidden="false" customHeight="true" outlineLevel="0" collapsed="false">
      <c r="A26" s="1" t="n">
        <v>25</v>
      </c>
      <c r="B26" s="1" t="s">
        <v>12</v>
      </c>
      <c r="C26" s="1" t="s">
        <v>4</v>
      </c>
      <c r="D26" s="1" t="s">
        <v>125</v>
      </c>
      <c r="E26" s="1" t="s">
        <v>302</v>
      </c>
    </row>
    <row r="27" customFormat="false" ht="15" hidden="false" customHeight="true" outlineLevel="0" collapsed="false">
      <c r="A27" s="1" t="n">
        <v>26</v>
      </c>
      <c r="B27" s="1" t="s">
        <v>12</v>
      </c>
      <c r="C27" s="1" t="s">
        <v>4</v>
      </c>
      <c r="D27" s="1" t="s">
        <v>126</v>
      </c>
      <c r="E27" s="1" t="s">
        <v>303</v>
      </c>
    </row>
    <row r="28" customFormat="false" ht="15" hidden="false" customHeight="true" outlineLevel="0" collapsed="false">
      <c r="A28" s="1" t="n">
        <v>27</v>
      </c>
      <c r="B28" s="1" t="s">
        <v>12</v>
      </c>
      <c r="C28" s="1" t="s">
        <v>4</v>
      </c>
      <c r="D28" s="1" t="s">
        <v>127</v>
      </c>
      <c r="E28" s="1" t="s">
        <v>304</v>
      </c>
    </row>
    <row r="29" customFormat="false" ht="15" hidden="false" customHeight="true" outlineLevel="0" collapsed="false">
      <c r="A29" s="1" t="n">
        <v>28</v>
      </c>
      <c r="B29" s="1" t="s">
        <v>12</v>
      </c>
      <c r="C29" s="1" t="s">
        <v>5</v>
      </c>
      <c r="D29" s="1" t="s">
        <v>128</v>
      </c>
      <c r="E29" s="1" t="s">
        <v>305</v>
      </c>
    </row>
    <row r="30" customFormat="false" ht="15" hidden="false" customHeight="true" outlineLevel="0" collapsed="false">
      <c r="A30" s="1" t="n">
        <v>29</v>
      </c>
      <c r="B30" s="1" t="s">
        <v>12</v>
      </c>
      <c r="C30" s="1" t="s">
        <v>5</v>
      </c>
      <c r="D30" s="1" t="s">
        <v>129</v>
      </c>
      <c r="E30" s="1" t="s">
        <v>306</v>
      </c>
    </row>
    <row r="31" customFormat="false" ht="15" hidden="false" customHeight="true" outlineLevel="0" collapsed="false">
      <c r="A31" s="1" t="n">
        <v>30</v>
      </c>
      <c r="B31" s="1" t="s">
        <v>12</v>
      </c>
      <c r="C31" s="1" t="s">
        <v>5</v>
      </c>
      <c r="D31" s="1" t="s">
        <v>130</v>
      </c>
      <c r="E31" s="1" t="s">
        <v>307</v>
      </c>
    </row>
    <row r="32" customFormat="false" ht="15" hidden="false" customHeight="true" outlineLevel="0" collapsed="false">
      <c r="A32" s="1" t="n">
        <v>31</v>
      </c>
      <c r="B32" s="1" t="s">
        <v>13</v>
      </c>
      <c r="C32" s="1" t="s">
        <v>3</v>
      </c>
      <c r="D32" s="1" t="s">
        <v>131</v>
      </c>
      <c r="E32" s="1" t="s">
        <v>308</v>
      </c>
    </row>
    <row r="33" customFormat="false" ht="15" hidden="false" customHeight="true" outlineLevel="0" collapsed="false">
      <c r="A33" s="1" t="n">
        <v>32</v>
      </c>
      <c r="B33" s="1" t="s">
        <v>13</v>
      </c>
      <c r="C33" s="1" t="s">
        <v>4</v>
      </c>
      <c r="D33" s="1" t="s">
        <v>132</v>
      </c>
      <c r="E33" s="1" t="s">
        <v>309</v>
      </c>
    </row>
    <row r="34" customFormat="false" ht="15" hidden="false" customHeight="true" outlineLevel="0" collapsed="false">
      <c r="A34" s="1" t="n">
        <v>33</v>
      </c>
      <c r="B34" s="1" t="s">
        <v>13</v>
      </c>
      <c r="C34" s="1" t="s">
        <v>4</v>
      </c>
      <c r="D34" s="1" t="s">
        <v>133</v>
      </c>
      <c r="E34" s="1" t="s">
        <v>310</v>
      </c>
    </row>
    <row r="35" customFormat="false" ht="15" hidden="false" customHeight="true" outlineLevel="0" collapsed="false">
      <c r="A35" s="1" t="n">
        <v>34</v>
      </c>
      <c r="B35" s="1" t="s">
        <v>13</v>
      </c>
      <c r="C35" s="1" t="s">
        <v>4</v>
      </c>
      <c r="D35" s="1" t="s">
        <v>134</v>
      </c>
      <c r="E35" s="1" t="s">
        <v>311</v>
      </c>
    </row>
    <row r="36" customFormat="false" ht="15" hidden="false" customHeight="true" outlineLevel="0" collapsed="false">
      <c r="A36" s="1" t="n">
        <v>35</v>
      </c>
      <c r="B36" s="1" t="s">
        <v>13</v>
      </c>
      <c r="C36" s="1" t="s">
        <v>4</v>
      </c>
      <c r="D36" s="1" t="s">
        <v>135</v>
      </c>
      <c r="E36" s="1" t="s">
        <v>312</v>
      </c>
    </row>
    <row r="37" customFormat="false" ht="15" hidden="false" customHeight="true" outlineLevel="0" collapsed="false">
      <c r="A37" s="1" t="n">
        <v>36</v>
      </c>
      <c r="B37" s="1" t="s">
        <v>13</v>
      </c>
      <c r="C37" s="1" t="s">
        <v>5</v>
      </c>
      <c r="D37" s="1" t="s">
        <v>136</v>
      </c>
      <c r="E37" s="1" t="s">
        <v>313</v>
      </c>
    </row>
    <row r="38" customFormat="false" ht="15" hidden="false" customHeight="true" outlineLevel="0" collapsed="false">
      <c r="A38" s="1" t="n">
        <v>37</v>
      </c>
      <c r="B38" s="1" t="s">
        <v>14</v>
      </c>
      <c r="C38" s="1" t="s">
        <v>4</v>
      </c>
      <c r="D38" s="1" t="s">
        <v>137</v>
      </c>
      <c r="E38" s="1" t="s">
        <v>314</v>
      </c>
    </row>
    <row r="39" customFormat="false" ht="15" hidden="false" customHeight="true" outlineLevel="0" collapsed="false">
      <c r="A39" s="1" t="n">
        <v>38</v>
      </c>
      <c r="B39" s="1" t="s">
        <v>14</v>
      </c>
      <c r="C39" s="1" t="s">
        <v>4</v>
      </c>
      <c r="D39" s="1" t="s">
        <v>138</v>
      </c>
      <c r="E39" s="1" t="s">
        <v>315</v>
      </c>
    </row>
    <row r="40" customFormat="false" ht="15" hidden="false" customHeight="true" outlineLevel="0" collapsed="false">
      <c r="A40" s="1" t="n">
        <v>39</v>
      </c>
      <c r="B40" s="1" t="s">
        <v>14</v>
      </c>
      <c r="C40" s="1" t="s">
        <v>4</v>
      </c>
      <c r="D40" s="1" t="s">
        <v>139</v>
      </c>
      <c r="E40" s="1" t="s">
        <v>316</v>
      </c>
    </row>
    <row r="41" customFormat="false" ht="15" hidden="false" customHeight="true" outlineLevel="0" collapsed="false">
      <c r="A41" s="1" t="n">
        <v>40</v>
      </c>
      <c r="B41" s="1" t="s">
        <v>14</v>
      </c>
      <c r="C41" s="1" t="s">
        <v>5</v>
      </c>
      <c r="D41" s="1" t="s">
        <v>140</v>
      </c>
      <c r="E41" s="1" t="s">
        <v>317</v>
      </c>
    </row>
    <row r="42" customFormat="false" ht="15" hidden="false" customHeight="true" outlineLevel="0" collapsed="false">
      <c r="A42" s="1" t="n">
        <v>41</v>
      </c>
      <c r="B42" s="1" t="s">
        <v>14</v>
      </c>
      <c r="C42" s="1" t="s">
        <v>5</v>
      </c>
      <c r="D42" s="1" t="s">
        <v>141</v>
      </c>
      <c r="E42" s="1" t="s">
        <v>318</v>
      </c>
    </row>
    <row r="43" customFormat="false" ht="15" hidden="false" customHeight="true" outlineLevel="0" collapsed="false">
      <c r="A43" s="1" t="n">
        <v>42</v>
      </c>
      <c r="B43" s="1" t="s">
        <v>14</v>
      </c>
      <c r="C43" s="1" t="s">
        <v>5</v>
      </c>
      <c r="D43" s="1" t="s">
        <v>142</v>
      </c>
      <c r="E43" s="1" t="s">
        <v>319</v>
      </c>
    </row>
    <row r="44" customFormat="false" ht="15" hidden="false" customHeight="true" outlineLevel="0" collapsed="false">
      <c r="A44" s="1" t="n">
        <v>43</v>
      </c>
      <c r="B44" s="1" t="s">
        <v>15</v>
      </c>
      <c r="C44" s="1" t="s">
        <v>4</v>
      </c>
      <c r="D44" s="1" t="s">
        <v>143</v>
      </c>
      <c r="E44" s="1" t="s">
        <v>320</v>
      </c>
    </row>
    <row r="45" customFormat="false" ht="15" hidden="false" customHeight="true" outlineLevel="0" collapsed="false">
      <c r="A45" s="1" t="n">
        <v>44</v>
      </c>
      <c r="B45" s="1" t="s">
        <v>15</v>
      </c>
      <c r="C45" s="1" t="s">
        <v>4</v>
      </c>
      <c r="D45" s="1" t="s">
        <v>144</v>
      </c>
      <c r="E45" s="1" t="s">
        <v>321</v>
      </c>
    </row>
    <row r="46" customFormat="false" ht="15" hidden="false" customHeight="true" outlineLevel="0" collapsed="false">
      <c r="A46" s="1" t="n">
        <v>45</v>
      </c>
      <c r="B46" s="1" t="s">
        <v>15</v>
      </c>
      <c r="C46" s="1" t="s">
        <v>5</v>
      </c>
      <c r="D46" s="1" t="s">
        <v>145</v>
      </c>
      <c r="E46" s="1" t="s">
        <v>322</v>
      </c>
    </row>
    <row r="47" customFormat="false" ht="15" hidden="false" customHeight="true" outlineLevel="0" collapsed="false">
      <c r="A47" s="1" t="n">
        <v>46</v>
      </c>
      <c r="B47" s="1" t="s">
        <v>15</v>
      </c>
      <c r="C47" s="1" t="s">
        <v>5</v>
      </c>
      <c r="D47" s="1" t="s">
        <v>146</v>
      </c>
      <c r="E47" s="1" t="s">
        <v>323</v>
      </c>
    </row>
    <row r="48" customFormat="false" ht="15" hidden="false" customHeight="true" outlineLevel="0" collapsed="false">
      <c r="A48" s="1" t="n">
        <v>47</v>
      </c>
      <c r="B48" s="1" t="s">
        <v>15</v>
      </c>
      <c r="C48" s="1" t="s">
        <v>4</v>
      </c>
      <c r="D48" s="1" t="s">
        <v>147</v>
      </c>
      <c r="E48" s="1" t="s">
        <v>324</v>
      </c>
    </row>
    <row r="49" customFormat="false" ht="15" hidden="false" customHeight="true" outlineLevel="0" collapsed="false">
      <c r="A49" s="1" t="n">
        <v>48</v>
      </c>
      <c r="B49" s="1" t="s">
        <v>15</v>
      </c>
      <c r="C49" s="1" t="s">
        <v>5</v>
      </c>
      <c r="D49" s="1" t="s">
        <v>148</v>
      </c>
      <c r="E49" s="1" t="s">
        <v>325</v>
      </c>
    </row>
    <row r="50" customFormat="false" ht="15" hidden="false" customHeight="true" outlineLevel="0" collapsed="false">
      <c r="A50" s="1" t="n">
        <v>49</v>
      </c>
      <c r="B50" s="1" t="s">
        <v>16</v>
      </c>
      <c r="C50" s="1" t="s">
        <v>4</v>
      </c>
      <c r="D50" s="1" t="s">
        <v>149</v>
      </c>
      <c r="E50" s="1" t="s">
        <v>326</v>
      </c>
    </row>
    <row r="51" customFormat="false" ht="15" hidden="false" customHeight="true" outlineLevel="0" collapsed="false">
      <c r="A51" s="1" t="n">
        <v>50</v>
      </c>
      <c r="B51" s="1" t="s">
        <v>16</v>
      </c>
      <c r="C51" s="1" t="s">
        <v>5</v>
      </c>
      <c r="D51" s="1" t="s">
        <v>150</v>
      </c>
      <c r="E51" s="1" t="s">
        <v>327</v>
      </c>
    </row>
    <row r="52" customFormat="false" ht="15" hidden="false" customHeight="true" outlineLevel="0" collapsed="false">
      <c r="A52" s="1" t="n">
        <v>51</v>
      </c>
      <c r="B52" s="1" t="s">
        <v>16</v>
      </c>
      <c r="C52" s="1" t="s">
        <v>4</v>
      </c>
      <c r="D52" s="1" t="s">
        <v>151</v>
      </c>
      <c r="E52" s="1" t="s">
        <v>328</v>
      </c>
    </row>
    <row r="53" customFormat="false" ht="15" hidden="false" customHeight="true" outlineLevel="0" collapsed="false">
      <c r="A53" s="1" t="n">
        <v>52</v>
      </c>
      <c r="B53" s="1" t="s">
        <v>16</v>
      </c>
      <c r="C53" s="1" t="s">
        <v>5</v>
      </c>
      <c r="D53" s="1" t="s">
        <v>152</v>
      </c>
      <c r="E53" s="1" t="s">
        <v>329</v>
      </c>
    </row>
    <row r="54" customFormat="false" ht="15" hidden="false" customHeight="true" outlineLevel="0" collapsed="false">
      <c r="A54" s="1" t="n">
        <v>53</v>
      </c>
      <c r="B54" s="1" t="s">
        <v>16</v>
      </c>
      <c r="C54" s="1" t="s">
        <v>5</v>
      </c>
      <c r="D54" s="1" t="s">
        <v>153</v>
      </c>
      <c r="E54" s="1" t="s">
        <v>330</v>
      </c>
    </row>
    <row r="55" customFormat="false" ht="15" hidden="false" customHeight="true" outlineLevel="0" collapsed="false">
      <c r="A55" s="1" t="n">
        <v>54</v>
      </c>
      <c r="B55" s="1" t="s">
        <v>16</v>
      </c>
      <c r="C55" s="1" t="s">
        <v>5</v>
      </c>
      <c r="D55" s="1" t="s">
        <v>154</v>
      </c>
      <c r="E55" s="1" t="s">
        <v>331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2026-06-09T19:09:51Z</dcterms:created>
  <dc:creator>openpyxl</dc:creator>
  <dc:description/>
  <dc:language>en-US</dc:language>
  <cp:lastModifiedBy/>
  <dcterms:modified xsi:type="dcterms:W3CDTF">2026-06-09T19:19:00Z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